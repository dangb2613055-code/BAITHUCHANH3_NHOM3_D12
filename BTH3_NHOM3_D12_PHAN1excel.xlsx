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EA20420D51A1F4F/Dokumente/"/>
    </mc:Choice>
  </mc:AlternateContent>
  <xr:revisionPtr revIDLastSave="127" documentId="8_{A945F7E4-E66B-4A8F-8D02-625F0D9F9054}" xr6:coauthVersionLast="47" xr6:coauthVersionMax="47" xr10:uidLastSave="{C3E6B21C-A8D0-46ED-A014-79CD4E88F900}"/>
  <bookViews>
    <workbookView minimized="1" xWindow="4248" yWindow="3360" windowWidth="17280" windowHeight="8880" firstSheet="3" activeTab="6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í thuyết" sheetId="4" r:id="rId4"/>
    <sheet name="Các bảng tham chiếu và thống kê" sheetId="5" r:id="rId5"/>
    <sheet name="Sinh viên điểm &lt; 7" sheetId="6" r:id="rId6"/>
    <sheet name="Sinh viên điểm &gt;= 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8" i="1"/>
  <c r="B4" i="7"/>
  <c r="B14" i="6"/>
  <c r="B13" i="6"/>
  <c r="B12" i="6"/>
  <c r="B11" i="6"/>
  <c r="B10" i="6"/>
  <c r="B9" i="6"/>
  <c r="B8" i="6"/>
  <c r="B7" i="6"/>
  <c r="B6" i="6"/>
  <c r="B5" i="6"/>
  <c r="B4" i="6"/>
  <c r="F26" i="5"/>
  <c r="F24" i="5"/>
  <c r="H21" i="1"/>
  <c r="H14" i="6" s="1"/>
  <c r="G21" i="1"/>
  <c r="G14" i="6" s="1"/>
  <c r="F21" i="1"/>
  <c r="F14" i="6" s="1"/>
  <c r="E21" i="1"/>
  <c r="E14" i="6" s="1"/>
  <c r="D21" i="1"/>
  <c r="D14" i="6" s="1"/>
  <c r="C21" i="1"/>
  <c r="C14" i="6" s="1"/>
  <c r="H20" i="1"/>
  <c r="I20" i="1" s="1"/>
  <c r="I13" i="6" s="1"/>
  <c r="G20" i="1"/>
  <c r="G13" i="6" s="1"/>
  <c r="F20" i="1"/>
  <c r="F13" i="6" s="1"/>
  <c r="E20" i="1"/>
  <c r="E13" i="6" s="1"/>
  <c r="D20" i="1"/>
  <c r="D13" i="6" s="1"/>
  <c r="C20" i="1"/>
  <c r="C13" i="6" s="1"/>
  <c r="H19" i="1"/>
  <c r="I19" i="1" s="1"/>
  <c r="G19" i="1"/>
  <c r="J19" i="1" s="1"/>
  <c r="K19" i="1" s="1"/>
  <c r="F19" i="1"/>
  <c r="E19" i="1"/>
  <c r="D19" i="1"/>
  <c r="C19" i="1"/>
  <c r="H18" i="1"/>
  <c r="I18" i="1" s="1"/>
  <c r="I12" i="6" s="1"/>
  <c r="G18" i="1"/>
  <c r="G12" i="6" s="1"/>
  <c r="F18" i="1"/>
  <c r="F12" i="6" s="1"/>
  <c r="E18" i="1"/>
  <c r="E12" i="6" s="1"/>
  <c r="D18" i="1"/>
  <c r="D12" i="6" s="1"/>
  <c r="C18" i="1"/>
  <c r="C12" i="6" s="1"/>
  <c r="H17" i="1"/>
  <c r="G17" i="1"/>
  <c r="F17" i="1"/>
  <c r="E17" i="1"/>
  <c r="D17" i="1"/>
  <c r="C17" i="1"/>
  <c r="H16" i="1"/>
  <c r="H11" i="6" s="1"/>
  <c r="G16" i="1"/>
  <c r="G11" i="6" s="1"/>
  <c r="F16" i="1"/>
  <c r="F11" i="6" s="1"/>
  <c r="E16" i="1"/>
  <c r="E11" i="6" s="1"/>
  <c r="D16" i="1"/>
  <c r="I16" i="1" s="1"/>
  <c r="I11" i="6" s="1"/>
  <c r="C16" i="1"/>
  <c r="C11" i="6" s="1"/>
  <c r="J15" i="1"/>
  <c r="J10" i="6" s="1"/>
  <c r="I15" i="1"/>
  <c r="I10" i="6" s="1"/>
  <c r="H15" i="1"/>
  <c r="H10" i="6" s="1"/>
  <c r="G15" i="1"/>
  <c r="G10" i="6" s="1"/>
  <c r="F15" i="1"/>
  <c r="F10" i="6" s="1"/>
  <c r="E15" i="1"/>
  <c r="E10" i="6" s="1"/>
  <c r="D15" i="1"/>
  <c r="D10" i="6" s="1"/>
  <c r="C10" i="6"/>
  <c r="H14" i="1"/>
  <c r="H9" i="6" s="1"/>
  <c r="G14" i="1"/>
  <c r="G9" i="6" s="1"/>
  <c r="F14" i="1"/>
  <c r="F9" i="6" s="1"/>
  <c r="E14" i="1"/>
  <c r="E9" i="6" s="1"/>
  <c r="D14" i="1"/>
  <c r="D9" i="6" s="1"/>
  <c r="C14" i="1"/>
  <c r="C9" i="6" s="1"/>
  <c r="H13" i="1"/>
  <c r="H4" i="7" s="1"/>
  <c r="G13" i="1"/>
  <c r="G4" i="7" s="1"/>
  <c r="F13" i="1"/>
  <c r="F4" i="7" s="1"/>
  <c r="E13" i="1"/>
  <c r="E4" i="7" s="1"/>
  <c r="D13" i="1"/>
  <c r="D4" i="7" s="1"/>
  <c r="C13" i="1"/>
  <c r="C4" i="7" s="1"/>
  <c r="H12" i="1"/>
  <c r="H8" i="6" s="1"/>
  <c r="G12" i="1"/>
  <c r="G8" i="6" s="1"/>
  <c r="F12" i="1"/>
  <c r="F8" i="6" s="1"/>
  <c r="E12" i="1"/>
  <c r="E8" i="6" s="1"/>
  <c r="D12" i="1"/>
  <c r="D8" i="6" s="1"/>
  <c r="C12" i="1"/>
  <c r="C8" i="6" s="1"/>
  <c r="H11" i="1"/>
  <c r="H7" i="6" s="1"/>
  <c r="G11" i="1"/>
  <c r="G7" i="6" s="1"/>
  <c r="F11" i="1"/>
  <c r="F7" i="6" s="1"/>
  <c r="E11" i="1"/>
  <c r="E7" i="6" s="1"/>
  <c r="D11" i="1"/>
  <c r="D7" i="6" s="1"/>
  <c r="C11" i="1"/>
  <c r="C7" i="6" s="1"/>
  <c r="H10" i="1"/>
  <c r="H6" i="6" s="1"/>
  <c r="G10" i="1"/>
  <c r="G6" i="6" s="1"/>
  <c r="F10" i="1"/>
  <c r="F6" i="6" s="1"/>
  <c r="E10" i="1"/>
  <c r="E6" i="6" s="1"/>
  <c r="D10" i="1"/>
  <c r="D6" i="6" s="1"/>
  <c r="C10" i="1"/>
  <c r="C6" i="6" s="1"/>
  <c r="H9" i="1"/>
  <c r="H5" i="6" s="1"/>
  <c r="G9" i="1"/>
  <c r="G5" i="6" s="1"/>
  <c r="F9" i="1"/>
  <c r="F5" i="6" s="1"/>
  <c r="E9" i="1"/>
  <c r="E5" i="6" s="1"/>
  <c r="D9" i="1"/>
  <c r="D5" i="6" s="1"/>
  <c r="C9" i="1"/>
  <c r="C5" i="6" s="1"/>
  <c r="H8" i="1"/>
  <c r="H4" i="6" s="1"/>
  <c r="G8" i="1"/>
  <c r="G4" i="6" s="1"/>
  <c r="F8" i="1"/>
  <c r="F4" i="6" s="1"/>
  <c r="E8" i="1"/>
  <c r="E4" i="6" s="1"/>
  <c r="C8" i="1"/>
  <c r="C4" i="6" s="1"/>
  <c r="I11" i="1" l="1"/>
  <c r="I7" i="6" s="1"/>
  <c r="J17" i="1"/>
  <c r="K17" i="1" s="1"/>
  <c r="I17" i="1"/>
  <c r="I10" i="1"/>
  <c r="I6" i="6" s="1"/>
  <c r="J10" i="1"/>
  <c r="I21" i="1"/>
  <c r="I14" i="6" s="1"/>
  <c r="J9" i="1"/>
  <c r="J13" i="1"/>
  <c r="J21" i="1"/>
  <c r="D11" i="6"/>
  <c r="H13" i="6"/>
  <c r="J18" i="1"/>
  <c r="I12" i="1"/>
  <c r="I8" i="6" s="1"/>
  <c r="H12" i="6"/>
  <c r="K15" i="1"/>
  <c r="K10" i="6" s="1"/>
  <c r="I14" i="1"/>
  <c r="I9" i="6" s="1"/>
  <c r="I9" i="1"/>
  <c r="I5" i="6" s="1"/>
  <c r="I13" i="1"/>
  <c r="I4" i="7" s="1"/>
  <c r="J16" i="1"/>
  <c r="J20" i="1"/>
  <c r="J11" i="1" l="1"/>
  <c r="J5" i="6"/>
  <c r="K9" i="1"/>
  <c r="K5" i="6" s="1"/>
  <c r="J12" i="6"/>
  <c r="K18" i="1"/>
  <c r="K12" i="6" s="1"/>
  <c r="J11" i="6"/>
  <c r="K16" i="1"/>
  <c r="K11" i="6" s="1"/>
  <c r="J14" i="1"/>
  <c r="J4" i="7"/>
  <c r="K13" i="1"/>
  <c r="K4" i="7" s="1"/>
  <c r="K20" i="1"/>
  <c r="K13" i="6" s="1"/>
  <c r="J13" i="6"/>
  <c r="J12" i="1"/>
  <c r="J14" i="6"/>
  <c r="K21" i="1"/>
  <c r="K14" i="6" s="1"/>
  <c r="J6" i="6"/>
  <c r="K10" i="1"/>
  <c r="K6" i="6" s="1"/>
  <c r="K11" i="1" l="1"/>
  <c r="K7" i="6" s="1"/>
  <c r="J7" i="6"/>
  <c r="J9" i="6"/>
  <c r="K14" i="1"/>
  <c r="K9" i="6" s="1"/>
  <c r="K12" i="1"/>
  <c r="K8" i="6" s="1"/>
  <c r="J8" i="6"/>
  <c r="I8" i="1"/>
  <c r="J8" i="1" s="1"/>
  <c r="D4" i="6"/>
  <c r="K8" i="1" l="1"/>
  <c r="J4" i="6"/>
  <c r="F25" i="5"/>
  <c r="I4" i="6"/>
  <c r="F14" i="5" l="1"/>
  <c r="K4" i="6"/>
  <c r="F15" i="5"/>
  <c r="F17" i="5"/>
  <c r="F21" i="5"/>
  <c r="F16" i="5"/>
  <c r="F18" i="5"/>
  <c r="F20" i="5"/>
  <c r="F19" i="5"/>
</calcChain>
</file>

<file path=xl/sharedStrings.xml><?xml version="1.0" encoding="utf-8"?>
<sst xmlns="http://schemas.openxmlformats.org/spreadsheetml/2006/main" count="224" uniqueCount="94">
  <si>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</si>
  <si>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</si>
  <si>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</si>
  <si>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</si>
  <si>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</si>
  <si>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</si>
  <si>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</si>
  <si>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</si>
  <si>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</si>
  <si>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</si>
  <si>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</si>
  <si>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</si>
  <si>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</si>
  <si>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TH1</t>
  </si>
  <si>
    <t>Điểm TH2</t>
  </si>
  <si>
    <t>Điểm TH3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</si>
  <si>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</si>
  <si>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</si>
  <si>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</si>
  <si>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</si>
  <si>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</si>
  <si>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</si>
  <si>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</si>
  <si>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</si>
  <si>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</si>
  <si>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</si>
  <si>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</si>
  <si>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</si>
  <si>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</si>
  <si>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</si>
  <si>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</si>
  <si>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</si>
  <si>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</si>
  <si>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</si>
  <si>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</si>
  <si>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</si>
  <si>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</si>
  <si>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Điểm TH 1</t>
  </si>
  <si>
    <t>Điểm TH 2</t>
  </si>
  <si>
    <t>Điểm TH 3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</si>
  <si>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</si>
  <si>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</si>
  <si>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</si>
  <si>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</si>
  <si>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</si>
  <si>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</si>
  <si>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</si>
  <si>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</si>
  <si>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</si>
  <si>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</si>
  <si>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</si>
  <si>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</si>
  <si>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</si>
  <si>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</si>
  <si>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</si>
  <si>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</si>
  <si>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</si>
  <si>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</si>
  <si>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</si>
  <si>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</si>
  <si>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</si>
  <si>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</si>
  <si>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</si>
  <si>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</si>
  <si>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</si>
  <si>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</si>
  <si>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</si>
  <si>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</si>
  <si>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</si>
  <si>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BT lớn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</si>
  <si>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</si>
  <si>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</si>
  <si>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</si>
  <si>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</si>
  <si>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</si>
  <si>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</si>
  <si>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</si>
  <si>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</si>
  <si>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</si>
  <si>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</si>
  <si>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</si>
  <si>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</si>
  <si>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</si>
  <si>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</si>
  <si>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</si>
  <si>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</si>
  <si>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</t>
  </si>
  <si>
    <t>Lê Minh Trí</t>
  </si>
  <si>
    <t>Bảng thống kê SV</t>
  </si>
  <si>
    <t>Số sinh viên điểm BT lớn=0 hoặc điểm LT=-3</t>
  </si>
  <si>
    <t>Số SV điểm thang 10 &gt;= 7 và Điểm chữ B+ hoặc A</t>
  </si>
  <si>
    <t>Số SV nghỉ TH &gt; 2</t>
  </si>
  <si>
    <t>DANH SÁCH SINH VIÊN CÓ ĐIỂM THEO THANG ĐIỂM 10 &lt; 7</t>
  </si>
  <si>
    <t>DANH SÁCH SINH VIÊN CÓ ĐIỂM THEO THANG ĐIỂM 10 &gt;= 7 VÀ ĐIỂM CHỮ LÀ B+ HOẶC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</si>
</sst>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/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Thống kê tổng số lượng Sinh viên theo điểm chữ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'Các bảng tham chiếu và thống kê'!$F$13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và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và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0-4867-9AF9-645BB3B32B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Biểu đồ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cột, thống kê số lượng </a:t>
            </a:r>
          </a:p>
          <a:p>
            <a:pPr>
              <a:defRPr/>
            </a:pP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sinh viên theo điểm chữ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'Các bảng tham chiếu và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và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1-4565-9E8D-E8F95844F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6450207"/>
        <c:axId val="354545167"/>
        <c:axId val="0"/>
      </c:bar3DChart>
      <c:catAx>
        <c:axId val="75645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45167"/>
        <c:crosses val="autoZero"/>
        <c:auto val="1"/>
        <c:lblAlgn val="ctr"/>
        <c:lblOffset val="100"/>
        <c:noMultiLvlLbl val="0"/>
      </c:catAx>
      <c:valAx>
        <c:axId val="3545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50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144780</xdr:rowOff>
    </xdr:from>
    <xdr:ext cx="4069080" cy="3314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13</xdr:col>
      <xdr:colOff>586740</xdr:colOff>
      <xdr:row>9</xdr:row>
      <xdr:rowOff>129540</xdr:rowOff>
    </xdr:from>
    <xdr:to>
      <xdr:col>20</xdr:col>
      <xdr:colOff>472440</xdr:colOff>
      <xdr:row>28</xdr:row>
      <xdr:rowOff>0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72E5737D-A04C-016E-521A-92E6B4CBB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pane xSplit="3" ySplit="7" topLeftCell="D8" activePane="bottomRight" state="frozen"/>
      <selection pane="topRight"/>
      <selection pane="bottomLeft"/>
      <selection pane="bottomRight" activeCell="M20" sqref="M20"/>
    </sheetView>
  </sheetViews>
  <sheetFormatPr defaultRowHeight="14.4" x14ac:dyDescent="0.3"/>
  <cols>
    <col min="1" max="1" width="9" customWidth="1"/>
    <col min="2" max="2" width="15" customWidth="1"/>
    <col min="3" max="3" width="32.5546875" customWidth="1"/>
    <col min="4" max="11" width="7.33203125" customWidth="1"/>
  </cols>
  <sheetData>
    <row r="1" spans="1:11" ht="18" x14ac:dyDescent="0.35">
      <c r="A1" s="20" t="s">
        <v>0</v>
      </c>
      <c r="B1" s="20"/>
      <c r="C1" s="20"/>
      <c r="D1" s="20"/>
      <c r="E1" s="20"/>
    </row>
    <row r="2" spans="1:11" x14ac:dyDescent="0.3">
      <c r="B2" s="23" t="s">
        <v>1</v>
      </c>
      <c r="C2" s="22">
        <v>1043</v>
      </c>
      <c r="D2" s="24" t="s">
        <v>2</v>
      </c>
      <c r="E2" s="24"/>
      <c r="F2" s="21" t="s">
        <v>3</v>
      </c>
      <c r="G2" s="21"/>
      <c r="H2" s="21"/>
    </row>
    <row r="3" spans="1:11" x14ac:dyDescent="0.3">
      <c r="B3" s="23" t="s">
        <v>4</v>
      </c>
      <c r="C3" s="22" t="s">
        <v>5</v>
      </c>
      <c r="D3" s="24" t="s">
        <v>6</v>
      </c>
      <c r="E3" s="24"/>
      <c r="F3" s="21">
        <v>8</v>
      </c>
      <c r="G3" s="21"/>
      <c r="H3" s="21"/>
    </row>
    <row r="4" spans="1:11" x14ac:dyDescent="0.3">
      <c r="B4" s="23" t="s">
        <v>7</v>
      </c>
      <c r="C4" s="22" t="s">
        <v>8</v>
      </c>
      <c r="D4" s="24" t="s">
        <v>9</v>
      </c>
      <c r="E4" s="24"/>
      <c r="F4" s="21">
        <v>1</v>
      </c>
      <c r="G4" s="21"/>
      <c r="H4" s="21"/>
    </row>
    <row r="5" spans="1:11" ht="3" customHeight="1" x14ac:dyDescent="0.3">
      <c r="B5" t="s">
        <v>7</v>
      </c>
      <c r="C5" t="s">
        <v>8</v>
      </c>
      <c r="D5" t="s">
        <v>9</v>
      </c>
      <c r="F5">
        <v>1</v>
      </c>
    </row>
    <row r="6" spans="1:11" hidden="1" x14ac:dyDescent="0.3"/>
    <row r="7" spans="1:11" s="15" customFormat="1" ht="44.4" customHeight="1" x14ac:dyDescent="0.3">
      <c r="A7" s="14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4" t="s">
        <v>17</v>
      </c>
      <c r="I7" s="14" t="s">
        <v>18</v>
      </c>
      <c r="J7" s="14" t="s">
        <v>19</v>
      </c>
      <c r="K7" s="14" t="s">
        <v>20</v>
      </c>
    </row>
    <row r="8" spans="1:11" x14ac:dyDescent="0.3">
      <c r="A8" s="3">
        <v>1</v>
      </c>
      <c r="B8" s="3" t="s">
        <v>21</v>
      </c>
      <c r="C8" s="4" t="str">
        <f>VLOOKUP(RIGHT(B8,8),'Các bảng tham chiếu và thống kê'!$B$14:$C$27,2,FALSE)</f>
        <v>Nguyễn Văn Hiếu</v>
      </c>
      <c r="D8" s="5">
        <f>VLOOKUP(RIGHT(B8,8),'Điểm thực hành các buổi'!$B$3:$F$16,3,FALSE)</f>
        <v>0.45</v>
      </c>
      <c r="E8" s="5">
        <f>VLOOKUP(RIGHT(B8,8),'Điểm thực hành các buổi'!$B$3:$F$16,4,FALSE)</f>
        <v>0.25</v>
      </c>
      <c r="F8" s="5">
        <f>VLOOKUP(RIGHT(B8,8),'Điểm thực hành các buổi'!$B$3:$F$16,5,FALSE)</f>
        <v>0.3</v>
      </c>
      <c r="G8" s="5">
        <f>VLOOKUP(RIGHT(B8,8),'Điểm bài tập lớn'!$B$3:$D$16,3,FALSE)</f>
        <v>0.5</v>
      </c>
      <c r="H8" s="5">
        <f>VLOOKUP(RIGHT(B8,8),'Điểm lí thuyết'!$B$3:$D$16,3,FALSE)</f>
        <v>4.2</v>
      </c>
      <c r="I8" s="5">
        <f t="shared" ref="I8:I21" si="0">ROUND(IF(H8=-3,0,D8+E8+F8+G8+0.6*H8),1)</f>
        <v>4</v>
      </c>
      <c r="J8" s="12">
        <f>ROUND(IF(OR(G8=0,VALUE(LEFT(B8,1))&gt;2),0,I8+VLOOKUP(VALUE(LEFT(B8,1)),'Các bảng tham chiếu và thống kê'!$E$3:$F$5,2,TRUE)),1)</f>
        <v>5</v>
      </c>
      <c r="K8" s="13" t="str">
        <f>VLOOKUP(J8,'Các bảng tham chiếu và thống kê'!$A$3:$C$10,2,TRUE)</f>
        <v>D+</v>
      </c>
    </row>
    <row r="9" spans="1:11" x14ac:dyDescent="0.3">
      <c r="A9" s="3">
        <v>2</v>
      </c>
      <c r="B9" s="3" t="s">
        <v>22</v>
      </c>
      <c r="C9" s="4" t="str">
        <f>VLOOKUP(RIGHT(B9,8),'Các bảng tham chiếu và thống kê'!$B$14:$C$27,2,FALSE)</f>
        <v>Lê Minh Trí</v>
      </c>
      <c r="D9" s="5">
        <f>VLOOKUP(RIGHT(B9,8),'Điểm thực hành các buổi'!$B$3:$F$16,3,FALSE)</f>
        <v>0.5</v>
      </c>
      <c r="E9" s="5">
        <f>VLOOKUP(RIGHT(B9,8),'Điểm thực hành các buổi'!$B$3:$F$16,4,FALSE)</f>
        <v>0.35</v>
      </c>
      <c r="F9" s="5">
        <f>VLOOKUP(RIGHT(B9,8),'Điểm thực hành các buổi'!$B$3:$F$16,5,FALSE)</f>
        <v>0.4</v>
      </c>
      <c r="G9" s="5">
        <f>VLOOKUP(RIGHT(B9,8),'Điểm bài tập lớn'!$B$3:$D$16,3,FALSE)</f>
        <v>1</v>
      </c>
      <c r="H9" s="5">
        <f>VLOOKUP(RIGHT(B9,8),'Điểm lí thuyết'!$B$3:$D$16,3,FALSE)</f>
        <v>5.8</v>
      </c>
      <c r="I9" s="5">
        <f t="shared" si="0"/>
        <v>5.7</v>
      </c>
      <c r="J9" s="12">
        <f>ROUND(IF(OR(G9=0,VALUE(LEFT(B9,1))&gt;2),0,I9+VLOOKUP(VALUE(LEFT(B9,1)),'Các bảng tham chiếu và thống kê'!$E$3:$F$5,2,TRUE)),1)</f>
        <v>6.2</v>
      </c>
      <c r="K9" s="13" t="str">
        <f>VLOOKUP(J9,'Các bảng tham chiếu và thống kê'!$A$3:$C$10,2,TRUE)</f>
        <v>C</v>
      </c>
    </row>
    <row r="10" spans="1:11" x14ac:dyDescent="0.3">
      <c r="A10" s="3">
        <v>3</v>
      </c>
      <c r="B10" s="3" t="s">
        <v>23</v>
      </c>
      <c r="C10" s="4" t="str">
        <f>VLOOKUP(RIGHT(B10,8),'Các bảng tham chiếu và thống kê'!$B$14:$C$27,2,FALSE)</f>
        <v>Nguyễn Kiều Mi</v>
      </c>
      <c r="D10" s="5">
        <f>VLOOKUP(RIGHT(B10,8),'Điểm thực hành các buổi'!$B$3:$F$16,3,FALSE)</f>
        <v>0.25</v>
      </c>
      <c r="E10" s="5">
        <f>VLOOKUP(RIGHT(B10,8),'Điểm thực hành các buổi'!$B$3:$F$16,4,FALSE)</f>
        <v>0.25</v>
      </c>
      <c r="F10" s="5">
        <f>VLOOKUP(RIGHT(B10,8),'Điểm thực hành các buổi'!$B$3:$F$16,5,FALSE)</f>
        <v>0.3</v>
      </c>
      <c r="G10" s="5">
        <f>VLOOKUP(RIGHT(B10,8),'Điểm bài tập lớn'!$B$3:$D$16,3,FALSE)</f>
        <v>0.5</v>
      </c>
      <c r="H10" s="5">
        <f>VLOOKUP(RIGHT(B10,8),'Điểm lí thuyết'!$B$3:$D$16,3,FALSE)</f>
        <v>5.8</v>
      </c>
      <c r="I10" s="5">
        <f t="shared" si="0"/>
        <v>4.8</v>
      </c>
      <c r="J10" s="12">
        <f>ROUND(IF(OR(G10=0,VALUE(LEFT(B10,1))&gt;2),0,I10+VLOOKUP(VALUE(LEFT(B10,1)),'Các bảng tham chiếu và thống kê'!$E$3:$F$5,2,TRUE)),1)</f>
        <v>5.8</v>
      </c>
      <c r="K10" s="13" t="str">
        <f>VLOOKUP(J10,'Các bảng tham chiếu và thống kê'!$A$3:$C$10,2,TRUE)</f>
        <v>C</v>
      </c>
    </row>
    <row r="11" spans="1:11" x14ac:dyDescent="0.3">
      <c r="A11" s="3">
        <v>4</v>
      </c>
      <c r="B11" s="3" t="s">
        <v>24</v>
      </c>
      <c r="C11" s="4" t="str">
        <f>VLOOKUP(RIGHT(B11,8),'Các bảng tham chiếu và thống kê'!$B$14:$C$27,2,FALSE)</f>
        <v>Đặng Duy Linh</v>
      </c>
      <c r="D11" s="5">
        <f>VLOOKUP(RIGHT(B11,8),'Điểm thực hành các buổi'!$B$3:$F$16,3,FALSE)</f>
        <v>0.4</v>
      </c>
      <c r="E11" s="5">
        <f>VLOOKUP(RIGHT(B11,8),'Điểm thực hành các buổi'!$B$3:$F$16,4,FALSE)</f>
        <v>0.25</v>
      </c>
      <c r="F11" s="5">
        <f>VLOOKUP(RIGHT(B11,8),'Điểm thực hành các buổi'!$B$3:$F$16,5,FALSE)</f>
        <v>0.35</v>
      </c>
      <c r="G11" s="5">
        <f>VLOOKUP(RIGHT(B11,8),'Điểm bài tập lớn'!$B$3:$D$16,3,FALSE)</f>
        <v>1</v>
      </c>
      <c r="H11" s="5">
        <f>VLOOKUP(RIGHT(B11,8),'Điểm lí thuyết'!$B$3:$D$16,3,FALSE)</f>
        <v>4.5</v>
      </c>
      <c r="I11" s="5">
        <f t="shared" si="0"/>
        <v>4.7</v>
      </c>
      <c r="J11" s="12">
        <f>ROUND(IF(OR(G11=0,VALUE(LEFT(B11,1))&gt;2),0,I11+VLOOKUP(VALUE(LEFT(B11,1)),'Các bảng tham chiếu và thống kê'!$E$3:$F$5,2,TRUE)),1)</f>
        <v>5.7</v>
      </c>
      <c r="K11" s="13" t="str">
        <f>VLOOKUP(J11,'Các bảng tham chiếu và thống kê'!$A$3:$C$10,2,TRUE)</f>
        <v>C</v>
      </c>
    </row>
    <row r="12" spans="1:11" x14ac:dyDescent="0.3">
      <c r="A12" s="3">
        <v>5</v>
      </c>
      <c r="B12" s="3" t="s">
        <v>25</v>
      </c>
      <c r="C12" s="4" t="str">
        <f>VLOOKUP(RIGHT(B12,8),'Các bảng tham chiếu và thống kê'!$B$14:$C$27,2,FALSE)</f>
        <v>Lê Thị Trúc Linh</v>
      </c>
      <c r="D12" s="5">
        <f>VLOOKUP(RIGHT(B12,8),'Điểm thực hành các buổi'!$B$3:$F$16,3,FALSE)</f>
        <v>0.45</v>
      </c>
      <c r="E12" s="5">
        <f>VLOOKUP(RIGHT(B12,8),'Điểm thực hành các buổi'!$B$3:$F$16,4,FALSE)</f>
        <v>0.4</v>
      </c>
      <c r="F12" s="5">
        <f>VLOOKUP(RIGHT(B12,8),'Điểm thực hành các buổi'!$B$3:$F$16,5,FALSE)</f>
        <v>0.35</v>
      </c>
      <c r="G12" s="5">
        <f>VLOOKUP(RIGHT(B12,8),'Điểm bài tập lớn'!$B$3:$D$16,3,FALSE)</f>
        <v>0.75</v>
      </c>
      <c r="H12" s="5">
        <f>VLOOKUP(RIGHT(B12,8),'Điểm lí thuyết'!$B$3:$D$16,3,FALSE)</f>
        <v>5.5</v>
      </c>
      <c r="I12" s="5">
        <f t="shared" si="0"/>
        <v>5.3</v>
      </c>
      <c r="J12" s="12">
        <f>ROUND(IF(OR(G12=0,VALUE(LEFT(B12,1))&gt;2),0,I12+VLOOKUP(VALUE(LEFT(B12,1)),'Các bảng tham chiếu và thống kê'!$E$3:$F$5,2,TRUE)),1)</f>
        <v>5.6</v>
      </c>
      <c r="K12" s="13" t="str">
        <f>VLOOKUP(J12,'Các bảng tham chiếu và thống kê'!$A$3:$C$10,2,TRUE)</f>
        <v>C</v>
      </c>
    </row>
    <row r="13" spans="1:11" x14ac:dyDescent="0.3">
      <c r="A13" s="3">
        <v>6</v>
      </c>
      <c r="B13" s="3" t="s">
        <v>26</v>
      </c>
      <c r="C13" s="4" t="str">
        <f>VLOOKUP(RIGHT(B13,8),'Các bảng tham chiếu và thống kê'!$B$14:$C$27,2,FALSE)</f>
        <v>Phạm Thị Huỳnh</v>
      </c>
      <c r="D13" s="5">
        <f>VLOOKUP(RIGHT(B13,8),'Điểm thực hành các buổi'!$B$3:$F$16,3,FALSE)</f>
        <v>0.4</v>
      </c>
      <c r="E13" s="5">
        <f>VLOOKUP(RIGHT(B13,8),'Điểm thực hành các buổi'!$B$3:$F$16,4,FALSE)</f>
        <v>0.45</v>
      </c>
      <c r="F13" s="5">
        <f>VLOOKUP(RIGHT(B13,8),'Điểm thực hành các buổi'!$B$3:$F$16,5,FALSE)</f>
        <v>0.5</v>
      </c>
      <c r="G13" s="5">
        <f>VLOOKUP(RIGHT(B13,8),'Điểm bài tập lớn'!$B$3:$D$16,3,FALSE)</f>
        <v>1.2</v>
      </c>
      <c r="H13" s="5">
        <f>VLOOKUP(RIGHT(B13,8),'Điểm lí thuyết'!$B$3:$D$16,3,FALSE)</f>
        <v>7.5</v>
      </c>
      <c r="I13" s="5">
        <f t="shared" si="0"/>
        <v>7.1</v>
      </c>
      <c r="J13" s="12">
        <f>ROUND(IF(OR(G13=0,VALUE(LEFT(B13,1))&gt;2),0,I13+VLOOKUP(VALUE(LEFT(B13,1)),'Các bảng tham chiếu và thống kê'!$E$3:$F$5,2,TRUE)),1)</f>
        <v>8.1</v>
      </c>
      <c r="K13" s="13" t="str">
        <f>VLOOKUP(J13,'Các bảng tham chiếu và thống kê'!$A$3:$C$10,2,TRUE)</f>
        <v>B+</v>
      </c>
    </row>
    <row r="14" spans="1:11" x14ac:dyDescent="0.3">
      <c r="A14" s="3">
        <v>7</v>
      </c>
      <c r="B14" s="3" t="s">
        <v>27</v>
      </c>
      <c r="C14" s="4" t="str">
        <f>VLOOKUP(RIGHT(B14,8),'Các bảng tham chiếu và thống kê'!$B$14:$C$27,2,FALSE)</f>
        <v>Lê Minh Thông</v>
      </c>
      <c r="D14" s="5">
        <f>VLOOKUP(RIGHT(B14,8),'Điểm thực hành các buổi'!$B$3:$F$16,3,FALSE)</f>
        <v>0.4</v>
      </c>
      <c r="E14" s="5">
        <f>VLOOKUP(RIGHT(B14,8),'Điểm thực hành các buổi'!$B$3:$F$16,4,FALSE)</f>
        <v>0.4</v>
      </c>
      <c r="F14" s="5">
        <f>VLOOKUP(RIGHT(B14,8),'Điểm thực hành các buổi'!$B$3:$F$16,5,FALSE)</f>
        <v>0.4</v>
      </c>
      <c r="G14" s="5">
        <f>VLOOKUP(RIGHT(B14,8),'Điểm bài tập lớn'!$B$3:$D$16,3,FALSE)</f>
        <v>1</v>
      </c>
      <c r="H14" s="5">
        <f>VLOOKUP(RIGHT(B14,8),'Điểm lí thuyết'!$B$3:$D$16,3,FALSE)</f>
        <v>5.3</v>
      </c>
      <c r="I14" s="5">
        <f t="shared" si="0"/>
        <v>5.4</v>
      </c>
      <c r="J14" s="12">
        <f>ROUND(IF(OR(G14=0,VALUE(LEFT(B14,1))&gt;2),0,I14+VLOOKUP(VALUE(LEFT(B14,1)),'Các bảng tham chiếu và thống kê'!$E$3:$F$5,2,TRUE)),1)</f>
        <v>6.4</v>
      </c>
      <c r="K14" s="13" t="str">
        <f>VLOOKUP(J14,'Các bảng tham chiếu và thống kê'!$A$3:$C$10,2,TRUE)</f>
        <v>C</v>
      </c>
    </row>
    <row r="15" spans="1:11" x14ac:dyDescent="0.3">
      <c r="A15" s="3">
        <v>8</v>
      </c>
      <c r="B15" s="3" t="s">
        <v>28</v>
      </c>
      <c r="C15" s="4" t="str">
        <f>VLOOKUP(RIGHT(B15,8),'Các bảng tham chiếu và thống kê'!$B$14:$C$27,2,FALSE)</f>
        <v>Huỳnh Thị Diễm</v>
      </c>
      <c r="D15" s="5">
        <f>VLOOKUP(RIGHT(B15,8),'Điểm thực hành các buổi'!$B$3:$F$16,3,FALSE)</f>
        <v>0.45</v>
      </c>
      <c r="E15" s="5">
        <f>VLOOKUP(RIGHT(B15,8),'Điểm thực hành các buổi'!$B$3:$F$16,4,FALSE)</f>
        <v>0.4</v>
      </c>
      <c r="F15" s="5">
        <f>VLOOKUP(RIGHT(B15,8),'Điểm thực hành các buổi'!$B$3:$F$16,5,FALSE)</f>
        <v>0.45</v>
      </c>
      <c r="G15" s="5">
        <f>VLOOKUP(RIGHT(B15,8),'Điểm bài tập lớn'!$B$3:$D$16,3,FALSE)</f>
        <v>0</v>
      </c>
      <c r="H15" s="5">
        <f>VLOOKUP(RIGHT(B15,8),'Điểm lí thuyết'!$B$3:$D$16,3,FALSE)</f>
        <v>6.8</v>
      </c>
      <c r="I15" s="5">
        <f t="shared" si="0"/>
        <v>5.4</v>
      </c>
      <c r="J15" s="12">
        <f>ROUND(IF(OR(G15=0,VALUE(LEFT(B15,1))&gt;2),0,I15+VLOOKUP(VALUE(LEFT(B15,1)),'Các bảng tham chiếu và thống kê'!$E$3:$F$5,2,TRUE)),1)</f>
        <v>0</v>
      </c>
      <c r="K15" s="13" t="str">
        <f>VLOOKUP(J15,'Các bảng tham chiếu và thống kê'!$A$3:$C$10,2,TRUE)</f>
        <v>F</v>
      </c>
    </row>
    <row r="16" spans="1:11" x14ac:dyDescent="0.3">
      <c r="A16" s="3">
        <v>9</v>
      </c>
      <c r="B16" s="3" t="s">
        <v>29</v>
      </c>
      <c r="C16" s="4" t="str">
        <f>VLOOKUP(RIGHT(B16,8),'Các bảng tham chiếu và thống kê'!$B$14:$C$27,2,FALSE)</f>
        <v>Trần Thanh Nguyên</v>
      </c>
      <c r="D16" s="5">
        <f>VLOOKUP(RIGHT(B16,8),'Điểm thực hành các buổi'!$B$3:$F$16,3,FALSE)</f>
        <v>0.45</v>
      </c>
      <c r="E16" s="5">
        <f>VLOOKUP(RIGHT(B16,8),'Điểm thực hành các buổi'!$B$3:$F$16,4,FALSE)</f>
        <v>0.4</v>
      </c>
      <c r="F16" s="5">
        <f>VLOOKUP(RIGHT(B16,8),'Điểm thực hành các buổi'!$B$3:$F$16,5,FALSE)</f>
        <v>0.4</v>
      </c>
      <c r="G16" s="5">
        <f>VLOOKUP(RIGHT(B16,8),'Điểm bài tập lớn'!$B$3:$D$16,3,FALSE)</f>
        <v>0.75</v>
      </c>
      <c r="H16" s="5">
        <f>VLOOKUP(RIGHT(B16,8),'Điểm lí thuyết'!$B$3:$D$16,3,FALSE)</f>
        <v>6.3</v>
      </c>
      <c r="I16" s="5">
        <f t="shared" si="0"/>
        <v>5.8</v>
      </c>
      <c r="J16" s="12">
        <f>ROUND(IF(OR(G16=0,VALUE(LEFT(B16,1))&gt;2),0,I16+VLOOKUP(VALUE(LEFT(B16,1)),'Các bảng tham chiếu và thống kê'!$E$3:$F$5,2,TRUE)),1)</f>
        <v>6.8</v>
      </c>
      <c r="K16" s="13" t="str">
        <f>VLOOKUP(J16,'Các bảng tham chiếu và thống kê'!$A$3:$C$10,2,TRUE)</f>
        <v>C+</v>
      </c>
    </row>
    <row r="17" spans="1:11" x14ac:dyDescent="0.3">
      <c r="A17" s="3">
        <v>10</v>
      </c>
      <c r="B17" s="3" t="s">
        <v>30</v>
      </c>
      <c r="C17" s="4" t="str">
        <f>VLOOKUP(RIGHT(B17,8),'Các bảng tham chiếu và thống kê'!$B$14:$C$27,2,FALSE)</f>
        <v>Nguyễn Thị Đào</v>
      </c>
      <c r="D17" s="5">
        <f>VLOOKUP(RIGHT(B17,8),'Điểm thực hành các buổi'!$B$3:$F$16,3,FALSE)</f>
        <v>0.3</v>
      </c>
      <c r="E17" s="5">
        <f>VLOOKUP(RIGHT(B17,8),'Điểm thực hành các buổi'!$B$3:$F$16,4,FALSE)</f>
        <v>0.5</v>
      </c>
      <c r="F17" s="5">
        <f>VLOOKUP(RIGHT(B17,8),'Điểm thực hành các buổi'!$B$3:$F$16,5,FALSE)</f>
        <v>0.45</v>
      </c>
      <c r="G17" s="5">
        <f>VLOOKUP(RIGHT(B17,8),'Điểm bài tập lớn'!$B$3:$D$16,3,FALSE)</f>
        <v>0.3</v>
      </c>
      <c r="H17" s="5">
        <f>VLOOKUP(RIGHT(B17,8),'Điểm lí thuyết'!$B$3:$D$16,3,FALSE)</f>
        <v>8.3000000000000007</v>
      </c>
      <c r="I17" s="5">
        <f t="shared" si="0"/>
        <v>6.5</v>
      </c>
      <c r="J17" s="12">
        <f>ROUND(IF(OR(G17=0,VALUE(LEFT(B17,1))&gt;2),0,I17+VLOOKUP(VALUE(LEFT(B17,1)),'Các bảng tham chiếu và thống kê'!$E$3:$F$5,2,TRUE)),1)</f>
        <v>7</v>
      </c>
      <c r="K17" s="13" t="str">
        <f>VLOOKUP(J17,'Các bảng tham chiếu và thống kê'!$A$3:$C$10,2,TRUE)</f>
        <v>B</v>
      </c>
    </row>
    <row r="18" spans="1:11" x14ac:dyDescent="0.3">
      <c r="A18" s="3">
        <v>11</v>
      </c>
      <c r="B18" s="3" t="s">
        <v>31</v>
      </c>
      <c r="C18" s="4" t="str">
        <f>VLOOKUP(RIGHT(B18,8),'Các bảng tham chiếu và thống kê'!$B$14:$C$27,2,FALSE)</f>
        <v>Nguyễn Chí Thanh</v>
      </c>
      <c r="D18" s="5">
        <f>VLOOKUP(RIGHT(B18,8),'Điểm thực hành các buổi'!$B$3:$F$16,3,FALSE)</f>
        <v>0.4</v>
      </c>
      <c r="E18" s="5">
        <f>VLOOKUP(RIGHT(B18,8),'Điểm thực hành các buổi'!$B$3:$F$16,4,FALSE)</f>
        <v>0.45</v>
      </c>
      <c r="F18" s="5">
        <f>VLOOKUP(RIGHT(B18,8),'Điểm thực hành các buổi'!$B$3:$F$16,5,FALSE)</f>
        <v>0.4</v>
      </c>
      <c r="G18" s="5">
        <f>VLOOKUP(RIGHT(B18,8),'Điểm bài tập lớn'!$B$3:$D$16,3,FALSE)</f>
        <v>0.3</v>
      </c>
      <c r="H18" s="5">
        <f>VLOOKUP(RIGHT(B18,8),'Điểm lí thuyết'!$B$3:$D$16,3,FALSE)</f>
        <v>-3</v>
      </c>
      <c r="I18" s="5">
        <f t="shared" si="0"/>
        <v>0</v>
      </c>
      <c r="J18" s="12">
        <f>ROUND(IF(OR(G18=0,VALUE(LEFT(B18,1))&gt;2),0,I18+VLOOKUP(VALUE(LEFT(B18,1)),'Các bảng tham chiếu và thống kê'!$E$3:$F$5,2,TRUE)),1)</f>
        <v>0</v>
      </c>
      <c r="K18" s="13" t="str">
        <f>VLOOKUP(J18,'Các bảng tham chiếu và thống kê'!$A$3:$C$10,2,TRUE)</f>
        <v>F</v>
      </c>
    </row>
    <row r="19" spans="1:11" x14ac:dyDescent="0.3">
      <c r="A19" s="3">
        <v>12</v>
      </c>
      <c r="B19" s="3" t="s">
        <v>32</v>
      </c>
      <c r="C19" s="4" t="str">
        <f>VLOOKUP(RIGHT(B19,8),'Các bảng tham chiếu và thống kê'!$B$14:$C$27,2,FALSE)</f>
        <v>Nguyễn Hải Anh</v>
      </c>
      <c r="D19" s="5">
        <f>VLOOKUP(RIGHT(B19,8),'Điểm thực hành các buổi'!$B$3:$F$16,3,FALSE)</f>
        <v>0.5</v>
      </c>
      <c r="E19" s="5">
        <f>VLOOKUP(RIGHT(B19,8),'Điểm thực hành các buổi'!$B$3:$F$16,4,FALSE)</f>
        <v>0.5</v>
      </c>
      <c r="F19" s="5">
        <f>VLOOKUP(RIGHT(B19,8),'Điểm thực hành các buổi'!$B$3:$F$16,5,FALSE)</f>
        <v>0.45</v>
      </c>
      <c r="G19" s="5">
        <f>VLOOKUP(RIGHT(B19,8),'Điểm bài tập lớn'!$B$3:$D$16,3,FALSE)</f>
        <v>1.5</v>
      </c>
      <c r="H19" s="5">
        <f>VLOOKUP(RIGHT(B19,8),'Điểm lí thuyết'!$B$3:$D$16,3,FALSE)</f>
        <v>7</v>
      </c>
      <c r="I19" s="5">
        <f t="shared" si="0"/>
        <v>7.2</v>
      </c>
      <c r="J19" s="12">
        <f>ROUND(IF(OR(G19=0,VALUE(LEFT(B19,1))&gt;2),0,I19+VLOOKUP(VALUE(LEFT(B19,1)),'Các bảng tham chiếu và thống kê'!$E$3:$F$5,2,TRUE)),1)</f>
        <v>7.5</v>
      </c>
      <c r="K19" s="13" t="str">
        <f>VLOOKUP(J19,'Các bảng tham chiếu và thống kê'!$A$3:$C$10,2,TRUE)</f>
        <v>B</v>
      </c>
    </row>
    <row r="20" spans="1:11" x14ac:dyDescent="0.3">
      <c r="A20" s="3">
        <v>13</v>
      </c>
      <c r="B20" s="3" t="s">
        <v>33</v>
      </c>
      <c r="C20" s="4" t="str">
        <f>VLOOKUP(RIGHT(B20,8),'Các bảng tham chiếu và thống kê'!$B$14:$C$27,2,FALSE)</f>
        <v>Trần Nam Dương</v>
      </c>
      <c r="D20" s="5">
        <f>VLOOKUP(RIGHT(B20,8),'Điểm thực hành các buổi'!$B$3:$F$16,3,FALSE)</f>
        <v>0.4</v>
      </c>
      <c r="E20" s="5">
        <f>VLOOKUP(RIGHT(B20,8),'Điểm thực hành các buổi'!$B$3:$F$16,4,FALSE)</f>
        <v>0.4</v>
      </c>
      <c r="F20" s="5">
        <f>VLOOKUP(RIGHT(B20,8),'Điểm thực hành các buổi'!$B$3:$F$16,5,FALSE)</f>
        <v>0.35</v>
      </c>
      <c r="G20" s="5">
        <f>VLOOKUP(RIGHT(B20,8),'Điểm bài tập lớn'!$B$3:$D$16,3,FALSE)</f>
        <v>1.35</v>
      </c>
      <c r="H20" s="5">
        <f>VLOOKUP(RIGHT(B20,8),'Điểm lí thuyết'!$B$3:$D$16,3,FALSE)</f>
        <v>-3</v>
      </c>
      <c r="I20" s="5">
        <f t="shared" si="0"/>
        <v>0</v>
      </c>
      <c r="J20" s="12">
        <f>ROUND(IF(OR(G20=0,VALUE(LEFT(B20,1))&gt;2),0,I20+VLOOKUP(VALUE(LEFT(B20,1)),'Các bảng tham chiếu và thống kê'!$E$3:$F$5,2,TRUE)),1)</f>
        <v>0</v>
      </c>
      <c r="K20" s="13" t="str">
        <f>VLOOKUP(J20,'Các bảng tham chiếu và thống kê'!$A$3:$C$10,2,TRUE)</f>
        <v>F</v>
      </c>
    </row>
    <row r="21" spans="1:11" x14ac:dyDescent="0.3">
      <c r="A21" s="3">
        <v>14</v>
      </c>
      <c r="B21" s="3" t="s">
        <v>34</v>
      </c>
      <c r="C21" s="4" t="str">
        <f>VLOOKUP(RIGHT(B21,8),'Các bảng tham chiếu và thống kê'!$B$14:$C$27,2,FALSE)</f>
        <v>Nguyễn Duy Khanh</v>
      </c>
      <c r="D21" s="5">
        <f>VLOOKUP(RIGHT(B21,8),'Điểm thực hành các buổi'!$B$3:$F$16,3,FALSE)</f>
        <v>0.35</v>
      </c>
      <c r="E21" s="5">
        <f>VLOOKUP(RIGHT(B21,8),'Điểm thực hành các buổi'!$B$3:$F$16,4,FALSE)</f>
        <v>0.4</v>
      </c>
      <c r="F21" s="5">
        <f>VLOOKUP(RIGHT(B21,8),'Điểm thực hành các buổi'!$B$3:$F$16,5,FALSE)</f>
        <v>0</v>
      </c>
      <c r="G21" s="5">
        <f>VLOOKUP(RIGHT(B21,8),'Điểm bài tập lớn'!$B$3:$D$16,3,FALSE)</f>
        <v>0.85</v>
      </c>
      <c r="H21" s="5">
        <f>VLOOKUP(RIGHT(B21,8),'Điểm lí thuyết'!$B$3:$D$16,3,FALSE)</f>
        <v>6.5</v>
      </c>
      <c r="I21" s="5">
        <f t="shared" si="0"/>
        <v>5.5</v>
      </c>
      <c r="J21" s="12">
        <f>ROUND(IF(OR(G21=0,VALUE(LEFT(B21,1))&gt;2),0,I21+VLOOKUP(VALUE(LEFT(B21,1)),'Các bảng tham chiếu và thống kê'!$E$3:$F$5,2,TRUE)),1)</f>
        <v>6.5</v>
      </c>
      <c r="K21" s="13" t="str">
        <f>VLOOKUP(J21,'Các bảng tham chiếu và thống kê'!$A$3:$C$10,2,TRUE)</f>
        <v>C+</v>
      </c>
    </row>
  </sheetData>
  <mergeCells count="7">
    <mergeCell ref="A1:E1"/>
    <mergeCell ref="F3:H3"/>
    <mergeCell ref="F4:H4"/>
    <mergeCell ref="D3:E3"/>
    <mergeCell ref="D4:E4"/>
    <mergeCell ref="D2:E2"/>
    <mergeCell ref="F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E11" sqref="E11"/>
    </sheetView>
  </sheetViews>
  <sheetFormatPr defaultRowHeight="14.4" x14ac:dyDescent="0.3"/>
  <cols>
    <col min="1" max="1" width="6.6640625" customWidth="1"/>
    <col min="2" max="2" width="15" customWidth="1"/>
    <col min="3" max="3" width="23" customWidth="1"/>
    <col min="4" max="4" width="10.44140625" customWidth="1"/>
    <col min="5" max="5" width="10.6640625" customWidth="1"/>
    <col min="6" max="6" width="10.77734375" customWidth="1"/>
  </cols>
  <sheetData>
    <row r="1" spans="1:6" ht="18" x14ac:dyDescent="0.35">
      <c r="A1" s="1" t="s">
        <v>35</v>
      </c>
    </row>
    <row r="2" spans="1:6" x14ac:dyDescent="0.3">
      <c r="A2" s="2" t="s">
        <v>10</v>
      </c>
      <c r="B2" s="2" t="s">
        <v>11</v>
      </c>
      <c r="C2" s="2" t="s">
        <v>36</v>
      </c>
      <c r="D2" s="2" t="s">
        <v>37</v>
      </c>
      <c r="E2" s="2" t="s">
        <v>38</v>
      </c>
      <c r="F2" s="2" t="s">
        <v>39</v>
      </c>
    </row>
    <row r="3" spans="1:6" x14ac:dyDescent="0.3">
      <c r="A3" s="3">
        <v>1</v>
      </c>
      <c r="B3" s="3" t="s">
        <v>40</v>
      </c>
      <c r="C3" s="4" t="s">
        <v>41</v>
      </c>
      <c r="D3" s="16">
        <v>0.45</v>
      </c>
      <c r="E3" s="16">
        <v>0.25</v>
      </c>
      <c r="F3" s="16">
        <v>0.3</v>
      </c>
    </row>
    <row r="4" spans="1:6" x14ac:dyDescent="0.3">
      <c r="A4" s="3">
        <v>2</v>
      </c>
      <c r="B4" s="3" t="s">
        <v>42</v>
      </c>
      <c r="C4" s="4" t="s">
        <v>43</v>
      </c>
      <c r="D4" s="16">
        <v>0.5</v>
      </c>
      <c r="E4" s="16">
        <v>0.35</v>
      </c>
      <c r="F4" s="16">
        <v>0.4</v>
      </c>
    </row>
    <row r="5" spans="1:6" x14ac:dyDescent="0.3">
      <c r="A5" s="3">
        <v>3</v>
      </c>
      <c r="B5" s="3" t="s">
        <v>44</v>
      </c>
      <c r="C5" s="4" t="s">
        <v>45</v>
      </c>
      <c r="D5" s="16">
        <v>0.25</v>
      </c>
      <c r="E5" s="16">
        <v>0.25</v>
      </c>
      <c r="F5" s="16">
        <v>0.3</v>
      </c>
    </row>
    <row r="6" spans="1:6" x14ac:dyDescent="0.3">
      <c r="A6" s="3">
        <v>4</v>
      </c>
      <c r="B6" s="3" t="s">
        <v>46</v>
      </c>
      <c r="C6" s="4" t="s">
        <v>47</v>
      </c>
      <c r="D6" s="16">
        <v>0.4</v>
      </c>
      <c r="E6" s="16">
        <v>0.25</v>
      </c>
      <c r="F6" s="16">
        <v>0.35</v>
      </c>
    </row>
    <row r="7" spans="1:6" x14ac:dyDescent="0.3">
      <c r="A7" s="3">
        <v>5</v>
      </c>
      <c r="B7" s="3" t="s">
        <v>48</v>
      </c>
      <c r="C7" s="4" t="s">
        <v>49</v>
      </c>
      <c r="D7" s="16">
        <v>0.45</v>
      </c>
      <c r="E7" s="16">
        <v>0.4</v>
      </c>
      <c r="F7" s="16">
        <v>0.35</v>
      </c>
    </row>
    <row r="8" spans="1:6" x14ac:dyDescent="0.3">
      <c r="A8" s="3">
        <v>6</v>
      </c>
      <c r="B8" s="3" t="s">
        <v>50</v>
      </c>
      <c r="C8" s="4" t="s">
        <v>51</v>
      </c>
      <c r="D8" s="16">
        <v>0.4</v>
      </c>
      <c r="E8" s="16">
        <v>0.45</v>
      </c>
      <c r="F8" s="16">
        <v>0.5</v>
      </c>
    </row>
    <row r="9" spans="1:6" x14ac:dyDescent="0.3">
      <c r="A9" s="3">
        <v>7</v>
      </c>
      <c r="B9" s="3" t="s">
        <v>52</v>
      </c>
      <c r="C9" s="4" t="s">
        <v>53</v>
      </c>
      <c r="D9" s="16">
        <v>0.4</v>
      </c>
      <c r="E9" s="16">
        <v>0.4</v>
      </c>
      <c r="F9" s="16">
        <v>0.4</v>
      </c>
    </row>
    <row r="10" spans="1:6" x14ac:dyDescent="0.3">
      <c r="A10" s="3">
        <v>8</v>
      </c>
      <c r="B10" s="3" t="s">
        <v>54</v>
      </c>
      <c r="C10" s="4" t="s">
        <v>55</v>
      </c>
      <c r="D10" s="16">
        <v>0.45</v>
      </c>
      <c r="E10" s="16">
        <v>0.4</v>
      </c>
      <c r="F10" s="16">
        <v>0.45</v>
      </c>
    </row>
    <row r="11" spans="1:6" x14ac:dyDescent="0.3">
      <c r="A11" s="3">
        <v>9</v>
      </c>
      <c r="B11" s="3" t="s">
        <v>56</v>
      </c>
      <c r="C11" s="4" t="s">
        <v>57</v>
      </c>
      <c r="D11" s="16">
        <v>0.45</v>
      </c>
      <c r="E11" s="16">
        <v>0.4</v>
      </c>
      <c r="F11" s="16">
        <v>0.4</v>
      </c>
    </row>
    <row r="12" spans="1:6" x14ac:dyDescent="0.3">
      <c r="A12" s="3">
        <v>10</v>
      </c>
      <c r="B12" s="3" t="s">
        <v>58</v>
      </c>
      <c r="C12" s="4" t="s">
        <v>59</v>
      </c>
      <c r="D12" s="16">
        <v>0.3</v>
      </c>
      <c r="E12" s="16">
        <v>0.5</v>
      </c>
      <c r="F12" s="16">
        <v>0.45</v>
      </c>
    </row>
    <row r="13" spans="1:6" x14ac:dyDescent="0.3">
      <c r="A13" s="3">
        <v>11</v>
      </c>
      <c r="B13" s="3" t="s">
        <v>60</v>
      </c>
      <c r="C13" s="4" t="s">
        <v>61</v>
      </c>
      <c r="D13" s="16">
        <v>0.4</v>
      </c>
      <c r="E13" s="16">
        <v>0.45</v>
      </c>
      <c r="F13" s="16">
        <v>0.4</v>
      </c>
    </row>
    <row r="14" spans="1:6" x14ac:dyDescent="0.3">
      <c r="A14" s="3">
        <v>12</v>
      </c>
      <c r="B14" s="3" t="s">
        <v>62</v>
      </c>
      <c r="C14" s="4" t="s">
        <v>63</v>
      </c>
      <c r="D14" s="16">
        <v>0.5</v>
      </c>
      <c r="E14" s="16">
        <v>0.5</v>
      </c>
      <c r="F14" s="16">
        <v>0.45</v>
      </c>
    </row>
    <row r="15" spans="1:6" x14ac:dyDescent="0.3">
      <c r="A15" s="3">
        <v>13</v>
      </c>
      <c r="B15" s="3" t="s">
        <v>64</v>
      </c>
      <c r="C15" s="4" t="s">
        <v>65</v>
      </c>
      <c r="D15" s="16">
        <v>0.4</v>
      </c>
      <c r="E15" s="16">
        <v>0.4</v>
      </c>
      <c r="F15" s="16">
        <v>0.35</v>
      </c>
    </row>
    <row r="16" spans="1:6" x14ac:dyDescent="0.3">
      <c r="A16" s="3">
        <v>14</v>
      </c>
      <c r="B16" s="3" t="s">
        <v>66</v>
      </c>
      <c r="C16" s="4" t="s">
        <v>67</v>
      </c>
      <c r="D16" s="16">
        <v>0.35</v>
      </c>
      <c r="E16" s="16">
        <v>0.4</v>
      </c>
      <c r="F16" s="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16" sqref="D3:D16"/>
    </sheetView>
  </sheetViews>
  <sheetFormatPr defaultRowHeight="14.4" x14ac:dyDescent="0.3"/>
  <cols>
    <col min="1" max="1" width="7" customWidth="1"/>
    <col min="2" max="2" width="15" customWidth="1"/>
    <col min="3" max="3" width="23" customWidth="1"/>
    <col min="4" max="4" width="17" customWidth="1"/>
  </cols>
  <sheetData>
    <row r="1" spans="1:4" ht="18" x14ac:dyDescent="0.35">
      <c r="A1" s="1" t="s">
        <v>68</v>
      </c>
    </row>
    <row r="2" spans="1:4" x14ac:dyDescent="0.3">
      <c r="A2" s="2" t="s">
        <v>10</v>
      </c>
      <c r="B2" s="2" t="s">
        <v>11</v>
      </c>
      <c r="C2" s="2" t="s">
        <v>36</v>
      </c>
      <c r="D2" s="2" t="s">
        <v>69</v>
      </c>
    </row>
    <row r="3" spans="1:4" x14ac:dyDescent="0.3">
      <c r="A3" s="3">
        <v>1</v>
      </c>
      <c r="B3" s="3" t="s">
        <v>40</v>
      </c>
      <c r="C3" s="4" t="s">
        <v>41</v>
      </c>
      <c r="D3" s="16">
        <v>0.5</v>
      </c>
    </row>
    <row r="4" spans="1:4" x14ac:dyDescent="0.3">
      <c r="A4" s="3">
        <v>2</v>
      </c>
      <c r="B4" s="3" t="s">
        <v>42</v>
      </c>
      <c r="C4" s="4" t="s">
        <v>43</v>
      </c>
      <c r="D4" s="16">
        <v>1</v>
      </c>
    </row>
    <row r="5" spans="1:4" x14ac:dyDescent="0.3">
      <c r="A5" s="3">
        <v>3</v>
      </c>
      <c r="B5" s="3" t="s">
        <v>44</v>
      </c>
      <c r="C5" s="4" t="s">
        <v>45</v>
      </c>
      <c r="D5" s="16">
        <v>0.5</v>
      </c>
    </row>
    <row r="6" spans="1:4" x14ac:dyDescent="0.3">
      <c r="A6" s="3">
        <v>4</v>
      </c>
      <c r="B6" s="3" t="s">
        <v>46</v>
      </c>
      <c r="C6" s="4" t="s">
        <v>47</v>
      </c>
      <c r="D6" s="16">
        <v>1</v>
      </c>
    </row>
    <row r="7" spans="1:4" x14ac:dyDescent="0.3">
      <c r="A7" s="3">
        <v>5</v>
      </c>
      <c r="B7" s="3" t="s">
        <v>48</v>
      </c>
      <c r="C7" s="4" t="s">
        <v>49</v>
      </c>
      <c r="D7" s="16">
        <v>0.75</v>
      </c>
    </row>
    <row r="8" spans="1:4" x14ac:dyDescent="0.3">
      <c r="A8" s="3">
        <v>6</v>
      </c>
      <c r="B8" s="3" t="s">
        <v>50</v>
      </c>
      <c r="C8" s="4" t="s">
        <v>51</v>
      </c>
      <c r="D8" s="16">
        <v>1.2</v>
      </c>
    </row>
    <row r="9" spans="1:4" x14ac:dyDescent="0.3">
      <c r="A9" s="3">
        <v>7</v>
      </c>
      <c r="B9" s="3" t="s">
        <v>52</v>
      </c>
      <c r="C9" s="4" t="s">
        <v>53</v>
      </c>
      <c r="D9" s="16">
        <v>1</v>
      </c>
    </row>
    <row r="10" spans="1:4" x14ac:dyDescent="0.3">
      <c r="A10" s="3">
        <v>8</v>
      </c>
      <c r="B10" s="3" t="s">
        <v>54</v>
      </c>
      <c r="C10" s="4" t="s">
        <v>55</v>
      </c>
      <c r="D10" s="16">
        <v>0</v>
      </c>
    </row>
    <row r="11" spans="1:4" x14ac:dyDescent="0.3">
      <c r="A11" s="3">
        <v>9</v>
      </c>
      <c r="B11" s="3" t="s">
        <v>56</v>
      </c>
      <c r="C11" s="4" t="s">
        <v>57</v>
      </c>
      <c r="D11" s="16">
        <v>0.75</v>
      </c>
    </row>
    <row r="12" spans="1:4" x14ac:dyDescent="0.3">
      <c r="A12" s="3">
        <v>10</v>
      </c>
      <c r="B12" s="3" t="s">
        <v>58</v>
      </c>
      <c r="C12" s="4" t="s">
        <v>59</v>
      </c>
      <c r="D12" s="16">
        <v>0.3</v>
      </c>
    </row>
    <row r="13" spans="1:4" x14ac:dyDescent="0.3">
      <c r="A13" s="3">
        <v>11</v>
      </c>
      <c r="B13" s="3" t="s">
        <v>60</v>
      </c>
      <c r="C13" s="4" t="s">
        <v>61</v>
      </c>
      <c r="D13" s="16">
        <v>0.3</v>
      </c>
    </row>
    <row r="14" spans="1:4" x14ac:dyDescent="0.3">
      <c r="A14" s="3">
        <v>12</v>
      </c>
      <c r="B14" s="3" t="s">
        <v>62</v>
      </c>
      <c r="C14" s="4" t="s">
        <v>63</v>
      </c>
      <c r="D14" s="16">
        <v>1.5</v>
      </c>
    </row>
    <row r="15" spans="1:4" x14ac:dyDescent="0.3">
      <c r="A15" s="3">
        <v>13</v>
      </c>
      <c r="B15" s="3" t="s">
        <v>64</v>
      </c>
      <c r="C15" s="4" t="s">
        <v>65</v>
      </c>
      <c r="D15" s="16">
        <v>1.35</v>
      </c>
    </row>
    <row r="16" spans="1:4" x14ac:dyDescent="0.3">
      <c r="A16" s="3">
        <v>14</v>
      </c>
      <c r="B16" s="3" t="s">
        <v>66</v>
      </c>
      <c r="C16" s="4" t="s">
        <v>67</v>
      </c>
      <c r="D16" s="16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C11" sqref="C11"/>
    </sheetView>
  </sheetViews>
  <sheetFormatPr defaultRowHeight="14.4" x14ac:dyDescent="0.3"/>
  <cols>
    <col min="1" max="1" width="6.33203125" customWidth="1"/>
    <col min="2" max="2" width="15" customWidth="1"/>
    <col min="3" max="3" width="23" customWidth="1"/>
    <col min="4" max="4" width="20" customWidth="1"/>
  </cols>
  <sheetData>
    <row r="1" spans="1:4" ht="18" x14ac:dyDescent="0.35">
      <c r="A1" s="1" t="s">
        <v>70</v>
      </c>
    </row>
    <row r="2" spans="1:4" x14ac:dyDescent="0.3">
      <c r="A2" s="2" t="s">
        <v>10</v>
      </c>
      <c r="B2" s="2" t="s">
        <v>11</v>
      </c>
      <c r="C2" s="2" t="s">
        <v>36</v>
      </c>
      <c r="D2" s="2" t="s">
        <v>70</v>
      </c>
    </row>
    <row r="3" spans="1:4" x14ac:dyDescent="0.3">
      <c r="A3" s="3">
        <v>1</v>
      </c>
      <c r="B3" s="3" t="s">
        <v>40</v>
      </c>
      <c r="C3" s="4" t="s">
        <v>41</v>
      </c>
      <c r="D3" s="17">
        <v>4.2</v>
      </c>
    </row>
    <row r="4" spans="1:4" x14ac:dyDescent="0.3">
      <c r="A4" s="3">
        <v>2</v>
      </c>
      <c r="B4" s="3" t="s">
        <v>42</v>
      </c>
      <c r="C4" s="4" t="s">
        <v>43</v>
      </c>
      <c r="D4" s="17">
        <v>5.8</v>
      </c>
    </row>
    <row r="5" spans="1:4" x14ac:dyDescent="0.3">
      <c r="A5" s="3">
        <v>3</v>
      </c>
      <c r="B5" s="3" t="s">
        <v>44</v>
      </c>
      <c r="C5" s="4" t="s">
        <v>45</v>
      </c>
      <c r="D5" s="17">
        <v>5.8</v>
      </c>
    </row>
    <row r="6" spans="1:4" x14ac:dyDescent="0.3">
      <c r="A6" s="3">
        <v>4</v>
      </c>
      <c r="B6" s="3" t="s">
        <v>46</v>
      </c>
      <c r="C6" s="4" t="s">
        <v>47</v>
      </c>
      <c r="D6" s="17">
        <v>4.5</v>
      </c>
    </row>
    <row r="7" spans="1:4" x14ac:dyDescent="0.3">
      <c r="A7" s="3">
        <v>5</v>
      </c>
      <c r="B7" s="3" t="s">
        <v>48</v>
      </c>
      <c r="C7" s="4" t="s">
        <v>49</v>
      </c>
      <c r="D7" s="17">
        <v>5.5</v>
      </c>
    </row>
    <row r="8" spans="1:4" x14ac:dyDescent="0.3">
      <c r="A8" s="3">
        <v>6</v>
      </c>
      <c r="B8" s="3" t="s">
        <v>50</v>
      </c>
      <c r="C8" s="4" t="s">
        <v>51</v>
      </c>
      <c r="D8" s="17">
        <v>7.5</v>
      </c>
    </row>
    <row r="9" spans="1:4" x14ac:dyDescent="0.3">
      <c r="A9" s="3">
        <v>7</v>
      </c>
      <c r="B9" s="3" t="s">
        <v>52</v>
      </c>
      <c r="C9" s="4" t="s">
        <v>53</v>
      </c>
      <c r="D9" s="17">
        <v>5.3</v>
      </c>
    </row>
    <row r="10" spans="1:4" x14ac:dyDescent="0.3">
      <c r="A10" s="3">
        <v>8</v>
      </c>
      <c r="B10" s="3" t="s">
        <v>54</v>
      </c>
      <c r="C10" s="4" t="s">
        <v>55</v>
      </c>
      <c r="D10" s="17">
        <v>6.8</v>
      </c>
    </row>
    <row r="11" spans="1:4" x14ac:dyDescent="0.3">
      <c r="A11" s="3">
        <v>9</v>
      </c>
      <c r="B11" s="3" t="s">
        <v>56</v>
      </c>
      <c r="C11" s="4" t="s">
        <v>57</v>
      </c>
      <c r="D11" s="17">
        <v>6.3</v>
      </c>
    </row>
    <row r="12" spans="1:4" x14ac:dyDescent="0.3">
      <c r="A12" s="3">
        <v>10</v>
      </c>
      <c r="B12" s="3" t="s">
        <v>58</v>
      </c>
      <c r="C12" s="4" t="s">
        <v>59</v>
      </c>
      <c r="D12" s="17">
        <v>8.3000000000000007</v>
      </c>
    </row>
    <row r="13" spans="1:4" x14ac:dyDescent="0.3">
      <c r="A13" s="3">
        <v>11</v>
      </c>
      <c r="B13" s="3" t="s">
        <v>60</v>
      </c>
      <c r="C13" s="4" t="s">
        <v>61</v>
      </c>
      <c r="D13" s="17">
        <v>-3</v>
      </c>
    </row>
    <row r="14" spans="1:4" x14ac:dyDescent="0.3">
      <c r="A14" s="3">
        <v>12</v>
      </c>
      <c r="B14" s="3" t="s">
        <v>62</v>
      </c>
      <c r="C14" s="4" t="s">
        <v>63</v>
      </c>
      <c r="D14" s="17">
        <v>7</v>
      </c>
    </row>
    <row r="15" spans="1:4" x14ac:dyDescent="0.3">
      <c r="A15" s="3">
        <v>13</v>
      </c>
      <c r="B15" s="3" t="s">
        <v>64</v>
      </c>
      <c r="C15" s="4" t="s">
        <v>65</v>
      </c>
      <c r="D15" s="17">
        <v>-3</v>
      </c>
    </row>
    <row r="16" spans="1:4" x14ac:dyDescent="0.3">
      <c r="A16" s="3">
        <v>14</v>
      </c>
      <c r="B16" s="3" t="s">
        <v>66</v>
      </c>
      <c r="C16" s="4" t="s">
        <v>67</v>
      </c>
      <c r="D16" s="17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>
      <selection activeCell="C20" sqref="C20"/>
    </sheetView>
  </sheetViews>
  <sheetFormatPr defaultRowHeight="14.4" x14ac:dyDescent="0.3"/>
  <cols>
    <col min="1" max="1" width="12.44140625" customWidth="1"/>
    <col min="2" max="2" width="15" customWidth="1"/>
    <col min="3" max="3" width="21.21875" customWidth="1"/>
    <col min="4" max="4" width="3.5546875" customWidth="1"/>
    <col min="5" max="5" width="19.21875" customWidth="1"/>
    <col min="6" max="6" width="17.5546875" customWidth="1"/>
  </cols>
  <sheetData>
    <row r="1" spans="1:6" x14ac:dyDescent="0.3">
      <c r="A1" s="6" t="s">
        <v>71</v>
      </c>
      <c r="E1" s="6" t="s">
        <v>72</v>
      </c>
    </row>
    <row r="2" spans="1:6" x14ac:dyDescent="0.3">
      <c r="A2" s="7" t="s">
        <v>19</v>
      </c>
      <c r="B2" s="7" t="s">
        <v>20</v>
      </c>
      <c r="C2" s="7" t="s">
        <v>73</v>
      </c>
      <c r="E2" s="7" t="s">
        <v>74</v>
      </c>
      <c r="F2" s="7" t="s">
        <v>75</v>
      </c>
    </row>
    <row r="3" spans="1:6" x14ac:dyDescent="0.3">
      <c r="A3" s="8">
        <v>0</v>
      </c>
      <c r="B3" s="9" t="s">
        <v>76</v>
      </c>
      <c r="C3" s="8">
        <v>0</v>
      </c>
      <c r="E3" s="9">
        <v>0</v>
      </c>
      <c r="F3" s="8">
        <v>1</v>
      </c>
    </row>
    <row r="4" spans="1:6" x14ac:dyDescent="0.3">
      <c r="A4" s="8">
        <v>4</v>
      </c>
      <c r="B4" s="9" t="s">
        <v>77</v>
      </c>
      <c r="C4" s="8">
        <v>1</v>
      </c>
      <c r="E4" s="9">
        <v>1</v>
      </c>
      <c r="F4" s="8">
        <v>0.5</v>
      </c>
    </row>
    <row r="5" spans="1:6" x14ac:dyDescent="0.3">
      <c r="A5" s="8">
        <v>5</v>
      </c>
      <c r="B5" s="9" t="s">
        <v>78</v>
      </c>
      <c r="C5" s="8">
        <v>1.5</v>
      </c>
      <c r="E5" s="9">
        <v>2</v>
      </c>
      <c r="F5" s="8">
        <v>0.25</v>
      </c>
    </row>
    <row r="6" spans="1:6" x14ac:dyDescent="0.3">
      <c r="A6" s="8">
        <v>5.5</v>
      </c>
      <c r="B6" s="9" t="s">
        <v>79</v>
      </c>
      <c r="C6" s="8">
        <v>2</v>
      </c>
    </row>
    <row r="7" spans="1:6" x14ac:dyDescent="0.3">
      <c r="A7" s="8">
        <v>6.5</v>
      </c>
      <c r="B7" s="9" t="s">
        <v>80</v>
      </c>
      <c r="C7" s="8">
        <v>2.5</v>
      </c>
    </row>
    <row r="8" spans="1:6" x14ac:dyDescent="0.3">
      <c r="A8" s="8">
        <v>7</v>
      </c>
      <c r="B8" s="9" t="s">
        <v>81</v>
      </c>
      <c r="C8" s="8">
        <v>3</v>
      </c>
    </row>
    <row r="9" spans="1:6" x14ac:dyDescent="0.3">
      <c r="A9" s="8">
        <v>8</v>
      </c>
      <c r="B9" s="9" t="s">
        <v>82</v>
      </c>
      <c r="C9" s="8">
        <v>3.5</v>
      </c>
    </row>
    <row r="10" spans="1:6" x14ac:dyDescent="0.3">
      <c r="A10" s="8">
        <v>9</v>
      </c>
      <c r="B10" s="9" t="s">
        <v>83</v>
      </c>
      <c r="C10" s="8">
        <v>4</v>
      </c>
    </row>
    <row r="12" spans="1:6" x14ac:dyDescent="0.3">
      <c r="A12" s="6" t="s">
        <v>84</v>
      </c>
    </row>
    <row r="13" spans="1:6" x14ac:dyDescent="0.3">
      <c r="A13" s="7" t="s">
        <v>10</v>
      </c>
      <c r="B13" s="7" t="s">
        <v>11</v>
      </c>
      <c r="C13" s="7" t="s">
        <v>12</v>
      </c>
      <c r="E13" s="10" t="s">
        <v>85</v>
      </c>
      <c r="F13" s="7" t="s">
        <v>86</v>
      </c>
    </row>
    <row r="14" spans="1:6" x14ac:dyDescent="0.3">
      <c r="A14" s="9">
        <v>1</v>
      </c>
      <c r="B14" s="9" t="s">
        <v>46</v>
      </c>
      <c r="C14" s="11" t="s">
        <v>47</v>
      </c>
      <c r="E14" s="9" t="s">
        <v>83</v>
      </c>
      <c r="F14" s="8">
        <f>COUNTIF('Tổng hợp điểm'!$K$8:$K$21, E14)</f>
        <v>0</v>
      </c>
    </row>
    <row r="15" spans="1:6" x14ac:dyDescent="0.3">
      <c r="A15" s="9">
        <v>2</v>
      </c>
      <c r="B15" s="9" t="s">
        <v>54</v>
      </c>
      <c r="C15" s="11" t="s">
        <v>55</v>
      </c>
      <c r="E15" s="9" t="s">
        <v>82</v>
      </c>
      <c r="F15" s="8">
        <f>COUNTIF('Tổng hợp điểm'!$K$8:$K$21, E15)</f>
        <v>1</v>
      </c>
    </row>
    <row r="16" spans="1:6" x14ac:dyDescent="0.3">
      <c r="A16" s="9">
        <v>3</v>
      </c>
      <c r="B16" s="9" t="s">
        <v>56</v>
      </c>
      <c r="C16" s="11" t="s">
        <v>57</v>
      </c>
      <c r="E16" s="9" t="s">
        <v>81</v>
      </c>
      <c r="F16" s="8">
        <f>COUNTIF('Tổng hợp điểm'!$K$8:$K$21, E16)</f>
        <v>2</v>
      </c>
    </row>
    <row r="17" spans="1:6" x14ac:dyDescent="0.3">
      <c r="A17" s="9">
        <v>4</v>
      </c>
      <c r="B17" s="9" t="s">
        <v>52</v>
      </c>
      <c r="C17" s="11" t="s">
        <v>53</v>
      </c>
      <c r="E17" s="9" t="s">
        <v>80</v>
      </c>
      <c r="F17" s="8">
        <f>COUNTIF('Tổng hợp điểm'!$K$8:$K$21, E17)</f>
        <v>2</v>
      </c>
    </row>
    <row r="18" spans="1:6" x14ac:dyDescent="0.3">
      <c r="A18" s="9">
        <v>5</v>
      </c>
      <c r="B18" s="9" t="s">
        <v>48</v>
      </c>
      <c r="C18" s="11" t="s">
        <v>49</v>
      </c>
      <c r="E18" s="9" t="s">
        <v>79</v>
      </c>
      <c r="F18" s="8">
        <f>COUNTIF('Tổng hợp điểm'!$K$8:$K$21, E18)</f>
        <v>5</v>
      </c>
    </row>
    <row r="19" spans="1:6" x14ac:dyDescent="0.3">
      <c r="A19" s="9">
        <v>6</v>
      </c>
      <c r="B19" s="9" t="s">
        <v>42</v>
      </c>
      <c r="C19" s="11" t="s">
        <v>87</v>
      </c>
      <c r="E19" s="9" t="s">
        <v>78</v>
      </c>
      <c r="F19" s="8">
        <f>COUNTIF('Tổng hợp điểm'!$K$8:$K$21, E19)</f>
        <v>1</v>
      </c>
    </row>
    <row r="20" spans="1:6" x14ac:dyDescent="0.3">
      <c r="A20" s="9">
        <v>7</v>
      </c>
      <c r="B20" s="9" t="s">
        <v>60</v>
      </c>
      <c r="C20" s="11" t="s">
        <v>61</v>
      </c>
      <c r="E20" s="9" t="s">
        <v>77</v>
      </c>
      <c r="F20" s="8">
        <f>COUNTIF('Tổng hợp điểm'!$K$8:$K$21, E20)</f>
        <v>0</v>
      </c>
    </row>
    <row r="21" spans="1:6" x14ac:dyDescent="0.3">
      <c r="A21" s="9">
        <v>8</v>
      </c>
      <c r="B21" s="9" t="s">
        <v>66</v>
      </c>
      <c r="C21" s="11" t="s">
        <v>67</v>
      </c>
      <c r="E21" s="9" t="s">
        <v>76</v>
      </c>
      <c r="F21" s="8">
        <f>COUNTIF('Tổng hợp điểm'!$K$8:$K$21, E21)</f>
        <v>3</v>
      </c>
    </row>
    <row r="22" spans="1:6" x14ac:dyDescent="0.3">
      <c r="A22" s="9">
        <v>9</v>
      </c>
      <c r="B22" s="9" t="s">
        <v>62</v>
      </c>
      <c r="C22" s="11" t="s">
        <v>63</v>
      </c>
    </row>
    <row r="23" spans="1:6" x14ac:dyDescent="0.3">
      <c r="A23" s="9">
        <v>10</v>
      </c>
      <c r="B23" s="9" t="s">
        <v>44</v>
      </c>
      <c r="C23" s="11" t="s">
        <v>45</v>
      </c>
      <c r="E23" s="6" t="s">
        <v>88</v>
      </c>
    </row>
    <row r="24" spans="1:6" x14ac:dyDescent="0.3">
      <c r="A24" s="9">
        <v>11</v>
      </c>
      <c r="B24" s="9" t="s">
        <v>58</v>
      </c>
      <c r="C24" s="11" t="s">
        <v>59</v>
      </c>
      <c r="E24" s="11" t="s">
        <v>89</v>
      </c>
      <c r="F24" s="8">
        <f>COUNTIF('Tổng hợp điểm'!$G$8:$G$21, 0) + COUNTIF('Tổng hợp điểm'!$H$8:$H$21, -3)</f>
        <v>3</v>
      </c>
    </row>
    <row r="25" spans="1:6" x14ac:dyDescent="0.3">
      <c r="A25" s="9">
        <v>12</v>
      </c>
      <c r="B25" s="9" t="s">
        <v>40</v>
      </c>
      <c r="C25" s="11" t="s">
        <v>41</v>
      </c>
      <c r="E25" s="11" t="s">
        <v>90</v>
      </c>
      <c r="F25" s="8">
        <f>COUNTIFS('Tổng hợp điểm'!$J$8:$J$21, "&gt;=7", 'Tổng hợp điểm'!$K$8:$K$21, "B+") + COUNTIFS('Tổng hợp điểm'!$J$8:$J$21, "&gt;=7", 'Tổng hợp điểm'!$K$8:$K$21, "A")</f>
        <v>1</v>
      </c>
    </row>
    <row r="26" spans="1:6" x14ac:dyDescent="0.3">
      <c r="A26" s="9">
        <v>13</v>
      </c>
      <c r="B26" s="9" t="s">
        <v>50</v>
      </c>
      <c r="C26" s="11" t="s">
        <v>51</v>
      </c>
      <c r="E26" s="11" t="s">
        <v>91</v>
      </c>
      <c r="F26" s="8">
        <f>COUNTIF('Tổng hợp điểm'!$B$8:$B$21, "3*") + COUNTIF('Tổng hợp điểm'!$B$8:$B$21, "4*") + COUNTIF('Tổng hợp điểm'!$B$8:$B$21, "5*")</f>
        <v>2</v>
      </c>
    </row>
    <row r="27" spans="1:6" x14ac:dyDescent="0.3">
      <c r="A27" s="9">
        <v>14</v>
      </c>
      <c r="B27" s="9" t="s">
        <v>64</v>
      </c>
      <c r="C27" s="11" t="s">
        <v>65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activeCell="D7" sqref="D7"/>
    </sheetView>
  </sheetViews>
  <sheetFormatPr defaultRowHeight="14.4" x14ac:dyDescent="0.3"/>
  <cols>
    <col min="1" max="1" width="6.21875" customWidth="1"/>
    <col min="2" max="2" width="19.88671875" customWidth="1"/>
    <col min="3" max="3" width="26" customWidth="1"/>
    <col min="4" max="4" width="14" customWidth="1"/>
    <col min="5" max="5" width="12.33203125" customWidth="1"/>
    <col min="6" max="6" width="13.6640625" customWidth="1"/>
    <col min="7" max="7" width="13.33203125" customWidth="1"/>
    <col min="8" max="8" width="14" customWidth="1"/>
    <col min="9" max="9" width="12" customWidth="1"/>
    <col min="10" max="10" width="14.109375" customWidth="1"/>
    <col min="11" max="11" width="11.88671875" customWidth="1"/>
  </cols>
  <sheetData>
    <row r="1" spans="1:11" ht="18" x14ac:dyDescent="0.35">
      <c r="A1" s="1" t="s">
        <v>92</v>
      </c>
    </row>
    <row r="3" spans="1:1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3">
      <c r="A4" s="3">
        <v>1</v>
      </c>
      <c r="B4" s="3" t="str">
        <f>'Tổng hợp điểm'!B8</f>
        <v>0B1505719</v>
      </c>
      <c r="C4" s="4" t="str">
        <f>'Tổng hợp điểm'!C8</f>
        <v>Nguyễn Văn Hiếu</v>
      </c>
      <c r="D4" s="17">
        <f>'Tổng hợp điểm'!D8</f>
        <v>0.45</v>
      </c>
      <c r="E4" s="17">
        <f>'Tổng hợp điểm'!E8</f>
        <v>0.25</v>
      </c>
      <c r="F4" s="17">
        <f>'Tổng hợp điểm'!F8</f>
        <v>0.3</v>
      </c>
      <c r="G4" s="17">
        <f>'Tổng hợp điểm'!G8</f>
        <v>0.5</v>
      </c>
      <c r="H4" s="17">
        <f>'Tổng hợp điểm'!H8</f>
        <v>4.2</v>
      </c>
      <c r="I4" s="17">
        <f>'Tổng hợp điểm'!I8</f>
        <v>4</v>
      </c>
      <c r="J4" s="17">
        <f>'Tổng hợp điểm'!J8</f>
        <v>5</v>
      </c>
      <c r="K4" s="3" t="str">
        <f>'Tổng hợp điểm'!K8</f>
        <v>D+</v>
      </c>
    </row>
    <row r="5" spans="1:11" x14ac:dyDescent="0.3">
      <c r="A5" s="3">
        <v>2</v>
      </c>
      <c r="B5" s="3" t="str">
        <f>'Tổng hợp điểm'!B9</f>
        <v>1B1505915</v>
      </c>
      <c r="C5" s="4" t="str">
        <f>'Tổng hợp điểm'!C9</f>
        <v>Lê Minh Trí</v>
      </c>
      <c r="D5" s="17">
        <f>'Tổng hợp điểm'!D9</f>
        <v>0.5</v>
      </c>
      <c r="E5" s="17">
        <f>'Tổng hợp điểm'!E9</f>
        <v>0.35</v>
      </c>
      <c r="F5" s="17">
        <f>'Tổng hợp điểm'!F9</f>
        <v>0.4</v>
      </c>
      <c r="G5" s="17">
        <f>'Tổng hợp điểm'!G9</f>
        <v>1</v>
      </c>
      <c r="H5" s="17">
        <f>'Tổng hợp điểm'!H9</f>
        <v>5.8</v>
      </c>
      <c r="I5" s="17">
        <f>'Tổng hợp điểm'!I9</f>
        <v>5.7</v>
      </c>
      <c r="J5" s="17">
        <f>'Tổng hợp điểm'!J9</f>
        <v>6.2</v>
      </c>
      <c r="K5" s="3" t="str">
        <f>'Tổng hợp điểm'!K9</f>
        <v>C</v>
      </c>
    </row>
    <row r="6" spans="1:11" x14ac:dyDescent="0.3">
      <c r="A6" s="3">
        <v>3</v>
      </c>
      <c r="B6" s="3" t="str">
        <f>'Tổng hợp điểm'!B10</f>
        <v>0B1509874</v>
      </c>
      <c r="C6" s="4" t="str">
        <f>'Tổng hợp điểm'!C10</f>
        <v>Nguyễn Kiều Mi</v>
      </c>
      <c r="D6" s="17">
        <f>'Tổng hợp điểm'!D10</f>
        <v>0.25</v>
      </c>
      <c r="E6" s="17">
        <f>'Tổng hợp điểm'!E10</f>
        <v>0.25</v>
      </c>
      <c r="F6" s="17">
        <f>'Tổng hợp điểm'!F10</f>
        <v>0.3</v>
      </c>
      <c r="G6" s="17">
        <f>'Tổng hợp điểm'!G10</f>
        <v>0.5</v>
      </c>
      <c r="H6" s="17">
        <f>'Tổng hợp điểm'!H10</f>
        <v>5.8</v>
      </c>
      <c r="I6" s="17">
        <f>'Tổng hợp điểm'!I10</f>
        <v>4.8</v>
      </c>
      <c r="J6" s="17">
        <f>'Tổng hợp điểm'!J10</f>
        <v>5.8</v>
      </c>
      <c r="K6" s="3" t="str">
        <f>'Tổng hợp điểm'!K10</f>
        <v>C</v>
      </c>
    </row>
    <row r="7" spans="1:11" x14ac:dyDescent="0.3">
      <c r="A7" s="3">
        <v>4</v>
      </c>
      <c r="B7" s="3" t="str">
        <f>'Tổng hợp điểm'!B11</f>
        <v>0B1509929</v>
      </c>
      <c r="C7" s="4" t="str">
        <f>'Tổng hợp điểm'!C11</f>
        <v>Đặng Duy Linh</v>
      </c>
      <c r="D7" s="17">
        <f>'Tổng hợp điểm'!D11</f>
        <v>0.4</v>
      </c>
      <c r="E7" s="17">
        <f>'Tổng hợp điểm'!E11</f>
        <v>0.25</v>
      </c>
      <c r="F7" s="17">
        <f>'Tổng hợp điểm'!F11</f>
        <v>0.35</v>
      </c>
      <c r="G7" s="17">
        <f>'Tổng hợp điểm'!G11</f>
        <v>1</v>
      </c>
      <c r="H7" s="17">
        <f>'Tổng hợp điểm'!H11</f>
        <v>4.5</v>
      </c>
      <c r="I7" s="17">
        <f>'Tổng hợp điểm'!I11</f>
        <v>4.7</v>
      </c>
      <c r="J7" s="17">
        <f>'Tổng hợp điểm'!J11</f>
        <v>5.7</v>
      </c>
      <c r="K7" s="3" t="str">
        <f>'Tổng hợp điểm'!K11</f>
        <v>C</v>
      </c>
    </row>
    <row r="8" spans="1:11" x14ac:dyDescent="0.3">
      <c r="A8" s="3">
        <v>5</v>
      </c>
      <c r="B8" s="3" t="str">
        <f>'Tổng hợp điểm'!B12</f>
        <v>2B1605223</v>
      </c>
      <c r="C8" s="4" t="str">
        <f>'Tổng hợp điểm'!C12</f>
        <v>Lê Thị Trúc Linh</v>
      </c>
      <c r="D8" s="17">
        <f>'Tổng hợp điểm'!D12</f>
        <v>0.45</v>
      </c>
      <c r="E8" s="17">
        <f>'Tổng hợp điểm'!E12</f>
        <v>0.4</v>
      </c>
      <c r="F8" s="17">
        <f>'Tổng hợp điểm'!F12</f>
        <v>0.35</v>
      </c>
      <c r="G8" s="17">
        <f>'Tổng hợp điểm'!G12</f>
        <v>0.75</v>
      </c>
      <c r="H8" s="17">
        <f>'Tổng hợp điểm'!H12</f>
        <v>5.5</v>
      </c>
      <c r="I8" s="17">
        <f>'Tổng hợp điểm'!I12</f>
        <v>5.3</v>
      </c>
      <c r="J8" s="17">
        <f>'Tổng hợp điểm'!J12</f>
        <v>5.6</v>
      </c>
      <c r="K8" s="3" t="str">
        <f>'Tổng hợp điểm'!K12</f>
        <v>C</v>
      </c>
    </row>
    <row r="9" spans="1:11" x14ac:dyDescent="0.3">
      <c r="A9" s="3">
        <v>6</v>
      </c>
      <c r="B9" s="3" t="str">
        <f>'Tổng hợp điểm'!B14</f>
        <v>0B1605249</v>
      </c>
      <c r="C9" s="4" t="str">
        <f>'Tổng hợp điểm'!C14</f>
        <v>Lê Minh Thông</v>
      </c>
      <c r="D9" s="17">
        <f>'Tổng hợp điểm'!D14</f>
        <v>0.4</v>
      </c>
      <c r="E9" s="17">
        <f>'Tổng hợp điểm'!E14</f>
        <v>0.4</v>
      </c>
      <c r="F9" s="17">
        <f>'Tổng hợp điểm'!F14</f>
        <v>0.4</v>
      </c>
      <c r="G9" s="17">
        <f>'Tổng hợp điểm'!G14</f>
        <v>1</v>
      </c>
      <c r="H9" s="17">
        <f>'Tổng hợp điểm'!H14</f>
        <v>5.3</v>
      </c>
      <c r="I9" s="17">
        <f>'Tổng hợp điểm'!I14</f>
        <v>5.4</v>
      </c>
      <c r="J9" s="17">
        <f>'Tổng hợp điểm'!J14</f>
        <v>6.4</v>
      </c>
      <c r="K9" s="3" t="str">
        <f>'Tổng hợp điểm'!K14</f>
        <v>C</v>
      </c>
    </row>
    <row r="10" spans="1:11" x14ac:dyDescent="0.3">
      <c r="A10" s="3">
        <v>7</v>
      </c>
      <c r="B10" s="3" t="str">
        <f>'Tổng hợp điểm'!B15</f>
        <v>0B1605285</v>
      </c>
      <c r="C10" s="4" t="str">
        <f>'Tổng hợp điểm'!C15</f>
        <v>Huỳnh Thị Diễm</v>
      </c>
      <c r="D10" s="17">
        <f>'Tổng hợp điểm'!D15</f>
        <v>0.45</v>
      </c>
      <c r="E10" s="17">
        <f>'Tổng hợp điểm'!E15</f>
        <v>0.4</v>
      </c>
      <c r="F10" s="17">
        <f>'Tổng hợp điểm'!F15</f>
        <v>0.45</v>
      </c>
      <c r="G10" s="17">
        <f>'Tổng hợp điểm'!G15</f>
        <v>0</v>
      </c>
      <c r="H10" s="17">
        <f>'Tổng hợp điểm'!H15</f>
        <v>6.8</v>
      </c>
      <c r="I10" s="17">
        <f>'Tổng hợp điểm'!I15</f>
        <v>5.4</v>
      </c>
      <c r="J10" s="17">
        <f>'Tổng hợp điểm'!J15</f>
        <v>0</v>
      </c>
      <c r="K10" s="3" t="str">
        <f>'Tổng hợp điểm'!K15</f>
        <v>F</v>
      </c>
    </row>
    <row r="11" spans="1:11" x14ac:dyDescent="0.3">
      <c r="A11" s="3">
        <v>8</v>
      </c>
      <c r="B11" s="3" t="str">
        <f>'Tổng hợp điểm'!B16</f>
        <v>0B1605291</v>
      </c>
      <c r="C11" s="4" t="str">
        <f>'Tổng hợp điểm'!C16</f>
        <v>Trần Thanh Nguyên</v>
      </c>
      <c r="D11" s="17">
        <f>'Tổng hợp điểm'!D16</f>
        <v>0.45</v>
      </c>
      <c r="E11" s="17">
        <f>'Tổng hợp điểm'!E16</f>
        <v>0.4</v>
      </c>
      <c r="F11" s="17">
        <f>'Tổng hợp điểm'!F16</f>
        <v>0.4</v>
      </c>
      <c r="G11" s="17">
        <f>'Tổng hợp điểm'!G16</f>
        <v>0.75</v>
      </c>
      <c r="H11" s="17">
        <f>'Tổng hợp điểm'!H16</f>
        <v>6.3</v>
      </c>
      <c r="I11" s="17">
        <f>'Tổng hợp điểm'!I16</f>
        <v>5.8</v>
      </c>
      <c r="J11" s="17">
        <f>'Tổng hợp điểm'!J16</f>
        <v>6.8</v>
      </c>
      <c r="K11" s="3" t="str">
        <f>'Tổng hợp điểm'!K16</f>
        <v>C+</v>
      </c>
    </row>
    <row r="12" spans="1:11" x14ac:dyDescent="0.3">
      <c r="A12" s="3">
        <v>9</v>
      </c>
      <c r="B12" s="3" t="str">
        <f>'Tổng hợp điểm'!B18</f>
        <v>4B1607025</v>
      </c>
      <c r="C12" s="4" t="str">
        <f>'Tổng hợp điểm'!C18</f>
        <v>Nguyễn Chí Thanh</v>
      </c>
      <c r="D12" s="17">
        <f>'Tổng hợp điểm'!D18</f>
        <v>0.4</v>
      </c>
      <c r="E12" s="17">
        <f>'Tổng hợp điểm'!E18</f>
        <v>0.45</v>
      </c>
      <c r="F12" s="17">
        <f>'Tổng hợp điểm'!F18</f>
        <v>0.4</v>
      </c>
      <c r="G12" s="17">
        <f>'Tổng hợp điểm'!G18</f>
        <v>0.3</v>
      </c>
      <c r="H12" s="17">
        <f>'Tổng hợp điểm'!H18</f>
        <v>-3</v>
      </c>
      <c r="I12" s="17">
        <f>'Tổng hợp điểm'!I18</f>
        <v>0</v>
      </c>
      <c r="J12" s="17">
        <f>'Tổng hợp điểm'!J18</f>
        <v>0</v>
      </c>
      <c r="K12" s="3" t="str">
        <f>'Tổng hợp điểm'!K18</f>
        <v>F</v>
      </c>
    </row>
    <row r="13" spans="1:11" x14ac:dyDescent="0.3">
      <c r="A13" s="3">
        <v>10</v>
      </c>
      <c r="B13" s="3" t="str">
        <f>'Tổng hợp điểm'!B20</f>
        <v>5B1609765</v>
      </c>
      <c r="C13" s="4" t="str">
        <f>'Tổng hợp điểm'!C20</f>
        <v>Trần Nam Dương</v>
      </c>
      <c r="D13" s="17">
        <f>'Tổng hợp điểm'!D20</f>
        <v>0.4</v>
      </c>
      <c r="E13" s="17">
        <f>'Tổng hợp điểm'!E20</f>
        <v>0.4</v>
      </c>
      <c r="F13" s="17">
        <f>'Tổng hợp điểm'!F20</f>
        <v>0.35</v>
      </c>
      <c r="G13" s="17">
        <f>'Tổng hợp điểm'!G20</f>
        <v>1.35</v>
      </c>
      <c r="H13" s="17">
        <f>'Tổng hợp điểm'!H20</f>
        <v>-3</v>
      </c>
      <c r="I13" s="17">
        <f>'Tổng hợp điểm'!I20</f>
        <v>0</v>
      </c>
      <c r="J13" s="17">
        <f>'Tổng hợp điểm'!J20</f>
        <v>0</v>
      </c>
      <c r="K13" s="3" t="str">
        <f>'Tổng hợp điểm'!K20</f>
        <v>F</v>
      </c>
    </row>
    <row r="14" spans="1:11" x14ac:dyDescent="0.3">
      <c r="A14" s="3">
        <v>11</v>
      </c>
      <c r="B14" s="3" t="str">
        <f>'Tổng hợp điểm'!B21</f>
        <v>0B1609773</v>
      </c>
      <c r="C14" s="4" t="str">
        <f>'Tổng hợp điểm'!C21</f>
        <v>Nguyễn Duy Khanh</v>
      </c>
      <c r="D14" s="17">
        <f>'Tổng hợp điểm'!D21</f>
        <v>0.35</v>
      </c>
      <c r="E14" s="17">
        <f>'Tổng hợp điểm'!E21</f>
        <v>0.4</v>
      </c>
      <c r="F14" s="17">
        <f>'Tổng hợp điểm'!F21</f>
        <v>0</v>
      </c>
      <c r="G14" s="17">
        <f>'Tổng hợp điểm'!G21</f>
        <v>0.85</v>
      </c>
      <c r="H14" s="17">
        <f>'Tổng hợp điểm'!H21</f>
        <v>6.5</v>
      </c>
      <c r="I14" s="17">
        <f>'Tổng hợp điểm'!I21</f>
        <v>5.5</v>
      </c>
      <c r="J14" s="17">
        <f>'Tổng hợp điểm'!J21</f>
        <v>6.5</v>
      </c>
      <c r="K14" s="3" t="str">
        <f>'Tổng hợp điểm'!K21</f>
        <v>C+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tabSelected="1" workbookViewId="0">
      <selection activeCell="E9" sqref="E9"/>
    </sheetView>
  </sheetViews>
  <sheetFormatPr defaultRowHeight="14.4" x14ac:dyDescent="0.3"/>
  <cols>
    <col min="1" max="1" width="5.5546875" customWidth="1"/>
    <col min="2" max="2" width="15.77734375" customWidth="1"/>
    <col min="3" max="3" width="18.109375" customWidth="1"/>
    <col min="4" max="4" width="10.109375" customWidth="1"/>
    <col min="5" max="5" width="10.44140625" customWidth="1"/>
    <col min="6" max="7" width="12.33203125" customWidth="1"/>
    <col min="8" max="8" width="11.88671875" customWidth="1"/>
    <col min="9" max="9" width="13.6640625" customWidth="1"/>
    <col min="10" max="10" width="23.44140625" customWidth="1"/>
    <col min="11" max="11" width="13.6640625" customWidth="1"/>
  </cols>
  <sheetData>
    <row r="1" spans="1:11" ht="18" x14ac:dyDescent="0.35">
      <c r="A1" s="1" t="s">
        <v>93</v>
      </c>
    </row>
    <row r="3" spans="1:1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3">
      <c r="A4" s="3">
        <v>1</v>
      </c>
      <c r="B4" s="3" t="str">
        <f>'Tổng hợp điểm'!B13</f>
        <v>0B1605235</v>
      </c>
      <c r="C4" s="4" t="str">
        <f>'Tổng hợp điểm'!C13</f>
        <v>Phạm Thị Huỳnh</v>
      </c>
      <c r="D4" s="18">
        <f>'Tổng hợp điểm'!D13</f>
        <v>0.4</v>
      </c>
      <c r="E4" s="18">
        <f>'Tổng hợp điểm'!E13</f>
        <v>0.45</v>
      </c>
      <c r="F4" s="18">
        <f>'Tổng hợp điểm'!F13</f>
        <v>0.5</v>
      </c>
      <c r="G4" s="18">
        <f>'Tổng hợp điểm'!G13</f>
        <v>1.2</v>
      </c>
      <c r="H4" s="18">
        <f>'Tổng hợp điểm'!H13</f>
        <v>7.5</v>
      </c>
      <c r="I4" s="18">
        <f>'Tổng hợp điểm'!I13</f>
        <v>7.1</v>
      </c>
      <c r="J4" s="18">
        <f>'Tổng hợp điểm'!J13</f>
        <v>8.1</v>
      </c>
      <c r="K4" s="19" t="str">
        <f>'Tổng hợp điểm'!K13</f>
        <v>B+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lí thuyết</vt:lpstr>
      <vt:lpstr>Các bảng tham chiếu và thống kê</vt:lpstr>
      <vt:lpstr>Sinh viên điểm &lt; 7</vt:lpstr>
      <vt:lpstr>Sinh viên điểm &gt;=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Đăng Trần</cp:lastModifiedBy>
  <dcterms:created xsi:type="dcterms:W3CDTF">2026-09-24T05:39:48Z</dcterms:created>
  <dcterms:modified xsi:type="dcterms:W3CDTF">2026-09-24T07:03:54Z</dcterms:modified>
</cp:coreProperties>
</file>